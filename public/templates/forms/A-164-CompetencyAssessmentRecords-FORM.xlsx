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720" yWindow="780" windowWidth="23380" windowHeight="21660" tabRatio="500" firstSheet="0" autoFilterDateGrouping="1"/>
  </bookViews>
  <sheets>
    <sheet xmlns:r="http://schemas.openxmlformats.org/officeDocument/2006/relationships" name="Competency Assessments" sheetId="1" state="visible" r:id="rId1"/>
    <sheet xmlns:r="http://schemas.openxmlformats.org/officeDocument/2006/relationships" name="Credentials &amp; CE" sheetId="2" state="visible" r:id="rId2"/>
    <sheet xmlns:r="http://schemas.openxmlformats.org/officeDocument/2006/relationships" name="Column Instructions" sheetId="3" state="visible" r:id="rId3"/>
  </sheets>
  <definedNames>
    <definedName name="_xlnm.Print_Titles" localSheetId="0">'Competency Assessments'!$11:$11</definedName>
  </definedNames>
  <definedNames/>
  <calcPr calcId="191029" fullCalcOnLoad="1"/>
</workbook>
</file>

<file path=xl/styles.xml><?xml version="1.0" encoding="utf-8"?>
<styleSheet xmlns="http://schemas.openxmlformats.org/spreadsheetml/2006/main">
  <numFmts count="1">
    <numFmt numFmtId="164" formatCode="yyyy-mm-dd"/>
  </numFmts>
  <fonts count="11">
    <font>
      <name val="Aptos"/>
      <charset val="1"/>
      <family val="2"/>
      <color theme="1"/>
      <sz val="11"/>
    </font>
    <font>
      <name val="Aptos"/>
      <b val="1"/>
      <color rgb="FFFFFFFF"/>
      <sz val="16"/>
    </font>
    <font>
      <name val="Aptos"/>
      <i val="1"/>
      <color rgb="FF595959"/>
      <sz val="12"/>
    </font>
    <font>
      <name val="Aptos"/>
      <b val="1"/>
      <color rgb="FF1B3A5C"/>
      <sz val="12"/>
    </font>
    <font>
      <name val="Aptos"/>
      <color rgb="FF000000"/>
      <sz val="12"/>
    </font>
    <font>
      <name val="Aptos"/>
      <b val="1"/>
      <color rgb="FFFFFFFF"/>
      <sz val="12"/>
    </font>
    <font>
      <name val="Aptos"/>
      <b val="1"/>
      <color rgb="FF000000"/>
      <sz val="12"/>
    </font>
    <font>
      <name val="Aptos"/>
      <b val="1"/>
      <color rgb="FFFFFFFF"/>
      <sz val="12"/>
    </font>
    <font>
      <name val="Aptos"/>
      <i val="1"/>
      <color rgb="FF595959"/>
      <sz val="11"/>
    </font>
    <font>
      <name val="Aptos"/>
      <b val="1"/>
      <color rgb="FF000000"/>
      <sz val="12"/>
    </font>
    <font>
      <name val="Aptos"/>
      <color rgb="FF000000"/>
      <sz val="12"/>
    </font>
  </fonts>
  <fills count="6">
    <fill>
      <patternFill/>
    </fill>
    <fill>
      <patternFill patternType="gray125"/>
    </fill>
    <fill>
      <patternFill patternType="solid">
        <fgColor rgb="FF1B3A5C"/>
        <bgColor rgb="FF333333"/>
      </patternFill>
    </fill>
    <fill>
      <patternFill patternType="solid">
        <fgColor rgb="FFEEF2F7"/>
        <bgColor rgb="FFF4F1E8"/>
      </patternFill>
    </fill>
    <fill>
      <patternFill patternType="solid">
        <fgColor rgb="FFF4F1E8"/>
        <bgColor rgb="FFEEF2F7"/>
      </patternFill>
    </fill>
    <fill>
      <patternFill patternType="solid">
        <fgColor rgb="FF1B3A5C"/>
        <bgColor indexed="64"/>
      </patternFill>
    </fill>
  </fills>
  <borders count="6">
    <border>
      <left/>
      <right/>
      <top/>
      <bottom/>
      <diagonal/>
    </border>
    <border>
      <left style="thin">
        <color rgb="FFBFBFBF"/>
      </left>
      <right style="thin">
        <color rgb="FFBFBFBF"/>
      </right>
      <top style="thin">
        <color rgb="FFBFBFBF"/>
      </top>
      <bottom style="thin">
        <color rgb="FFBFBFBF"/>
      </bottom>
      <diagonal/>
    </border>
    <border>
      <left/>
      <right/>
      <top style="thin">
        <color rgb="FFBFBFBF"/>
      </top>
      <bottom/>
      <diagonal/>
    </border>
    <border>
      <left/>
      <right style="thin">
        <color rgb="FFBFBFBF"/>
      </right>
      <top style="thin">
        <color rgb="FFBFBFBF"/>
      </top>
      <bottom/>
      <diagonal/>
    </border>
    <border>
      <left/>
      <right style="thin">
        <color rgb="FFBFBFBF"/>
      </right>
      <top style="thin">
        <color rgb="FFBFBFBF"/>
      </top>
      <bottom style="thin">
        <color rgb="FFBFBFBF"/>
      </bottom>
      <diagonal/>
    </border>
    <border>
      <left/>
      <right/>
      <top style="thin">
        <color rgb="FFBFBFBF"/>
      </top>
      <bottom style="thin">
        <color rgb="FFBFBFBF"/>
      </bottom>
      <diagonal/>
    </border>
  </borders>
  <cellStyleXfs count="1">
    <xf numFmtId="0" fontId="0" fillId="0" borderId="0"/>
  </cellStyleXfs>
  <cellXfs count="22">
    <xf numFmtId="0" fontId="0" fillId="0" borderId="0" pivotButton="0" quotePrefix="0" xfId="0"/>
    <xf numFmtId="0" fontId="4" fillId="4" borderId="0" applyAlignment="1" pivotButton="0" quotePrefix="0" xfId="0">
      <alignment horizontal="left" vertical="top" wrapText="1"/>
    </xf>
    <xf numFmtId="0" fontId="2" fillId="4" borderId="0" applyAlignment="1" pivotButton="0" quotePrefix="0" xfId="0">
      <alignment horizontal="left" vertical="top" wrapText="1"/>
    </xf>
    <xf numFmtId="0" fontId="4" fillId="0" borderId="0" applyAlignment="1" pivotButton="0" quotePrefix="0" xfId="0">
      <alignment horizontal="left" vertical="top" wrapText="1"/>
    </xf>
    <xf numFmtId="0" fontId="3" fillId="0" borderId="0" applyAlignment="1" pivotButton="0" quotePrefix="0" xfId="0">
      <alignment horizontal="left" vertical="top" wrapText="1"/>
    </xf>
    <xf numFmtId="0" fontId="2" fillId="3" borderId="1" applyAlignment="1" pivotButton="0" quotePrefix="0" xfId="0">
      <alignment horizontal="left" vertical="top" wrapText="1"/>
    </xf>
    <xf numFmtId="0" fontId="4" fillId="3" borderId="1" applyAlignment="1" pivotButton="0" quotePrefix="0" xfId="0">
      <alignment horizontal="left" vertical="top" wrapText="1"/>
    </xf>
    <xf numFmtId="0" fontId="3" fillId="3" borderId="1" applyAlignment="1" pivotButton="0" quotePrefix="0" xfId="0">
      <alignment horizontal="left" vertical="top" wrapText="1"/>
    </xf>
    <xf numFmtId="0" fontId="2" fillId="0" borderId="0" applyAlignment="1" pivotButton="0" quotePrefix="0" xfId="0">
      <alignment horizontal="left" vertical="top" wrapText="1"/>
    </xf>
    <xf numFmtId="0" fontId="1" fillId="2" borderId="0" applyAlignment="1" pivotButton="0" quotePrefix="0" xfId="0">
      <alignment horizontal="left" vertical="center"/>
    </xf>
    <xf numFmtId="0" fontId="5" fillId="2" borderId="1" applyAlignment="1" pivotButton="0" quotePrefix="0" xfId="0">
      <alignment horizontal="center" vertical="center" wrapText="1"/>
    </xf>
    <xf numFmtId="0" fontId="4" fillId="0" borderId="1" applyAlignment="1" pivotButton="0" quotePrefix="0" xfId="0">
      <alignment horizontal="left" vertical="top" wrapText="1"/>
    </xf>
    <xf numFmtId="0" fontId="0" fillId="2" borderId="1" pivotButton="0" quotePrefix="0" xfId="0"/>
    <xf numFmtId="0" fontId="4" fillId="0" borderId="1" pivotButton="0" quotePrefix="0" xfId="0"/>
    <xf numFmtId="0" fontId="3" fillId="0" borderId="0" pivotButton="0" quotePrefix="0" xfId="0"/>
    <xf numFmtId="0" fontId="6" fillId="0" borderId="1" applyAlignment="1" pivotButton="0" quotePrefix="0" xfId="0">
      <alignment horizontal="left" vertical="top" wrapText="1"/>
    </xf>
    <xf numFmtId="0" fontId="7" fillId="5" borderId="1" applyAlignment="1" pivotButton="0" quotePrefix="0" xfId="0">
      <alignment horizontal="center" vertical="center" wrapText="1"/>
    </xf>
    <xf numFmtId="0" fontId="8" fillId="0" borderId="0" applyAlignment="1" pivotButton="0" quotePrefix="0" xfId="0">
      <alignment horizontal="left" vertical="center" wrapText="1"/>
    </xf>
    <xf numFmtId="0" fontId="9" fillId="0" borderId="1" applyAlignment="1" pivotButton="0" quotePrefix="0" xfId="0">
      <alignment horizontal="left" vertical="top" wrapText="1"/>
    </xf>
    <xf numFmtId="0" fontId="10" fillId="0" borderId="1" applyAlignment="1" pivotButton="0" quotePrefix="0" xfId="0">
      <alignment horizontal="left" vertical="top" wrapText="1"/>
    </xf>
    <xf numFmtId="0" fontId="9" fillId="0" borderId="0" applyAlignment="1" pivotButton="0" quotePrefix="0" xfId="0">
      <alignment horizontal="left" vertical="top" wrapText="1"/>
    </xf>
    <xf applyNumberFormat="1" numFmtId="164" fontId="4" fillId="0" borderId="1" applyAlignment="1" pivotButton="0" quotePrefix="0" xfId="0">
      <alignment horizontal="left" vertical="top" wrapText="1"/>
    </xf>
  </cellXfs>
  <cellStyles count="1">
    <cellStyle name="Normal" xfId="0" builtinId="0"/>
  </cellStyle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4F1E8"/>
      <rgbColor rgb="FFEEF2F7"/>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595959"/>
      <rgbColor rgb="FF969696"/>
      <rgbColor rgb="FF1B3A5C"/>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Aptos"/>
        <a:ea typeface=""/>
        <a:cs typeface=""/>
      </a:majorFont>
      <a:minorFont>
        <a:latin typeface="Aptos"/>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T200"/>
  <sheetViews>
    <sheetView showGridLines="0" tabSelected="1" zoomScaleNormal="100" workbookViewId="0">
      <pane ySplit="11" topLeftCell="A12" activePane="bottomLeft" state="frozen"/>
      <selection pane="bottomLeft" activeCell="A12" sqref="A12"/>
    </sheetView>
  </sheetViews>
  <sheetFormatPr baseColWidth="10" defaultColWidth="8.6640625" defaultRowHeight="15"/>
  <cols>
    <col width="9" customWidth="1" min="1" max="1"/>
    <col width="13" customWidth="1" min="2" max="2"/>
    <col width="24" customWidth="1" min="3" max="3"/>
    <col width="26" customWidth="1" min="4" max="4"/>
    <col width="26" customWidth="1" min="5" max="6"/>
    <col width="24" customWidth="1" min="6" max="6"/>
    <col width="28" customWidth="1" min="7" max="7"/>
    <col width="26" customWidth="1" min="8" max="8"/>
    <col width="16" customWidth="1" min="9" max="9"/>
    <col width="17" customWidth="1" min="10" max="10"/>
  </cols>
  <sheetData>
    <row r="1" ht="25.5" customHeight="1">
      <c r="A1" s="9" t="inlineStr">
        <is>
          <t>Competency Assessment Records</t>
        </is>
      </c>
      <c r="B1" s="9" t="n"/>
      <c r="C1" s="9" t="n"/>
      <c r="D1" s="9" t="n"/>
      <c r="E1" s="9" t="n"/>
      <c r="F1" s="9" t="n"/>
      <c r="G1" s="9" t="n"/>
      <c r="H1" s="9" t="n"/>
      <c r="I1" s="9" t="n"/>
      <c r="J1" s="9" t="n"/>
    </row>
    <row r="2"/>
    <row r="3" ht="15" customHeight="1">
      <c r="A3" s="7" t="inlineStr">
        <is>
          <t>Authority</t>
        </is>
      </c>
      <c r="B3" s="7" t="n"/>
      <c r="C3" s="6" t="inlineStr">
        <is>
          <t>Adopted by [Agency Name] under the authority of [signing official / title].</t>
        </is>
      </c>
      <c r="D3" s="6" t="n"/>
      <c r="E3" s="6" t="n"/>
      <c r="F3" s="6" t="n"/>
      <c r="G3" s="6" t="n"/>
    </row>
    <row r="4" ht="15" customHeight="1">
      <c r="A4" s="7" t="inlineStr">
        <is>
          <t>Owner</t>
        </is>
      </c>
      <c r="B4" s="7" t="n"/>
      <c r="C4" s="6" t="inlineStr">
        <is>
          <t>[Role title]   « use a role, not a person’s name »</t>
        </is>
      </c>
      <c r="D4" s="6" t="n"/>
      <c r="E4" s="6" t="n"/>
      <c r="F4" s="6" t="n"/>
      <c r="G4" s="6" t="n"/>
    </row>
    <row r="5" ht="15" customHeight="1">
      <c r="A5" s="7" t="inlineStr">
        <is>
          <t>Version / Dates</t>
        </is>
      </c>
      <c r="B5" s="7" t="n"/>
      <c r="C5" s="6" t="inlineStr">
        <is>
          <t>Version [#]      Effective Date [Date]      Next Review [Date]</t>
        </is>
      </c>
      <c r="D5" s="6" t="n"/>
      <c r="E5" s="6" t="n"/>
      <c r="F5" s="6" t="n"/>
      <c r="G5" s="6" t="n"/>
    </row>
    <row r="6" ht="72" customHeight="1">
      <c r="A6" s="7" t="inlineStr">
        <is>
          <t>Classification</t>
        </is>
      </c>
      <c r="B6" s="7" t="n"/>
      <c r="C6" s="6" t="inlineStr">
        <is>
          <t>Confidential / CJIS   « Minimum for this record: it names individuals and records whether each one demonstrated competency, including where they did not, so it is Confidential rather than Restricted. “ / CJIS” applies because it evidences competency for staff who reach CJIS-regulated systems through IDACS. Your agency may raise but not lower it. »</t>
        </is>
      </c>
      <c r="D6" s="6" t="n"/>
      <c r="E6" s="6" t="n"/>
      <c r="F6" s="6" t="n"/>
      <c r="G6" s="6" t="n"/>
    </row>
    <row r="7" ht="90" customHeight="1">
      <c r="A7" s="7" t="inlineStr">
        <is>
          <t>Coverage / Scope</t>
        </is>
      </c>
      <c r="B7" s="7" t="n"/>
      <c r="C7" s="6" t="inlineStr">
        <is>
          <t>Covers competency assessments for [year], with the prior years retained per the retention line below. Scope: every person assigned Role-Specific Training Materials Tracks A through D, plus Tracks E, F and G where the Agency assesses by demonstration rather than by acknowledgment. This record holds demonstrated capability; course attendance and the pass mark live in the Training Completion Records. Reviewer (role): [role]. CJIS Handling: this record evidences competency for staff who reach CJIS-regulated systems through IDACS; apply CJIS Security Policy v5.9 §5.2 and 240 IAC 5 in addition to the requirements above.</t>
        </is>
      </c>
      <c r="D7" s="6" t="n"/>
      <c r="E7" s="6" t="n"/>
      <c r="F7" s="6" t="n"/>
      <c r="G7" s="6" t="n"/>
    </row>
    <row r="8"/>
    <row r="9">
      <c r="A9" s="4" t="inlineStr">
        <is>
          <t>Assessment Entries</t>
        </is>
      </c>
      <c r="B9" s="4" t="n"/>
      <c r="C9" s="4" t="n"/>
      <c r="D9" s="4" t="n"/>
      <c r="E9" s="4" t="n"/>
      <c r="F9" s="4" t="n"/>
      <c r="G9" s="4" t="n"/>
      <c r="H9" s="4" t="n"/>
      <c r="I9" s="4" t="n"/>
      <c r="J9" s="4" t="n"/>
    </row>
    <row r="10" ht="46" customHeight="1">
      <c r="A10" s="8" t="inlineStr">
        <is>
          <t>« One row per person per assessment. Record the judgment against the passing bar stated in the Role-Specific Training Materials, not a score: the score belongs in the Training Completion Records. Where the result is anything other than Demonstrated, the gap and its remediation are required. Keep the current and prior years. »</t>
        </is>
      </c>
      <c r="B10" s="8" t="n"/>
      <c r="C10" s="8" t="n"/>
      <c r="D10" s="8" t="n"/>
      <c r="E10" s="8" t="n"/>
      <c r="F10" s="8" t="n"/>
      <c r="G10" s="8" t="n"/>
      <c r="H10" s="8" t="n"/>
      <c r="I10" s="8" t="n"/>
      <c r="J10" s="8" t="n"/>
    </row>
    <row r="11" ht="42" customHeight="1">
      <c r="A11" s="10" t="inlineStr">
        <is>
          <t>Entry #</t>
        </is>
      </c>
      <c r="B11" s="10" t="inlineStr">
        <is>
          <t>Date</t>
        </is>
      </c>
      <c r="C11" s="10" t="inlineStr">
        <is>
          <t>Staff Member (Name &amp; Role)</t>
        </is>
      </c>
      <c r="D11" s="10" t="inlineStr">
        <is>
          <t>Track / Competency Assessed</t>
        </is>
      </c>
      <c r="E11" s="10" t="inlineStr">
        <is>
          <t>Assessment Method</t>
        </is>
      </c>
      <c r="F11" s="10" t="inlineStr">
        <is>
          <t>Result vs Passing Bar</t>
        </is>
      </c>
      <c r="G11" s="10" t="inlineStr">
        <is>
          <t>Gap Observed</t>
        </is>
      </c>
      <c r="H11" s="10" t="inlineStr">
        <is>
          <t>Remediation &amp; Due Date</t>
        </is>
      </c>
      <c r="I11" s="10" t="inlineStr">
        <is>
          <t>Reassessed / Closed</t>
        </is>
      </c>
      <c r="J11" s="10" t="inlineStr">
        <is>
          <t>Next Assessment Due</t>
        </is>
      </c>
    </row>
    <row r="12" ht="50.5" customHeight="1">
      <c r="A12" s="11" t="inlineStr">
        <is>
          <t>0001</t>
        </is>
      </c>
      <c r="B12" s="11" t="inlineStr">
        <is>
          <t>[YYYY-MM-DD]</t>
        </is>
      </c>
      <c r="C12" s="11" t="inlineStr">
        <is>
          <t>[Name, IT support]</t>
        </is>
      </c>
      <c r="D12" s="11" t="inlineStr">
        <is>
          <t>[Track A: Secure Configuration and Maintenance]</t>
        </is>
      </c>
      <c r="E12" s="11" t="inlineStr">
        <is>
          <t>[Baseline walkthrough on one system, every deviation named]</t>
        </is>
      </c>
      <c r="F12" s="11" t="inlineStr">
        <is>
          <t>[Demonstrated]</t>
        </is>
      </c>
      <c r="G12" s="11" t="inlineStr">
        <is>
          <t>[None]</t>
        </is>
      </c>
      <c r="H12" s="11" t="inlineStr">
        <is>
          <t>[n/a]</t>
        </is>
      </c>
      <c r="I12" s="11" t="inlineStr">
        <is>
          <t>[n/a]</t>
        </is>
      </c>
      <c r="J12" s="11" t="inlineStr">
        <is>
          <t>[YYYY-MM-DD]</t>
        </is>
      </c>
    </row>
    <row r="13" ht="50.5" customHeight="1">
      <c r="A13" s="11" t="inlineStr">
        <is>
          <t>0002</t>
        </is>
      </c>
      <c r="B13" s="11" t="inlineStr">
        <is>
          <t>[YYYY-MM-DD]</t>
        </is>
      </c>
      <c r="C13" s="11" t="inlineStr">
        <is>
          <t>[Name, Security Coordinator]</t>
        </is>
      </c>
      <c r="D13" s="11" t="inlineStr">
        <is>
          <t>[Track D: Incident Response and Evidence Handling]</t>
        </is>
      </c>
      <c r="E13" s="11" t="inlineStr">
        <is>
          <t>[Tabletop participation with decision log]</t>
        </is>
      </c>
      <c r="F13" s="11" t="inlineStr">
        <is>
          <t>[Demonstrated with gap]</t>
        </is>
      </c>
      <c r="G13" s="11" t="inlineStr">
        <is>
          <t>[Evidence preserved, but the two-business-day reporting clock was missed]</t>
        </is>
      </c>
      <c r="H13" s="11" t="inlineStr">
        <is>
          <t>[Re-brief on notification timelines by YYYY-MM-DD]</t>
        </is>
      </c>
      <c r="I13" s="11" t="inlineStr">
        <is>
          <t>[YYYY-MM-DD]</t>
        </is>
      </c>
      <c r="J13" s="11" t="inlineStr">
        <is>
          <t>[YYYY-MM-DD]</t>
        </is>
      </c>
    </row>
    <row r="14" ht="30" customHeight="1">
      <c r="A14" s="11" t="n"/>
      <c r="B14" s="11" t="n"/>
      <c r="C14" s="11" t="n"/>
      <c r="D14" s="11" t="n"/>
      <c r="E14" s="11" t="n"/>
      <c r="F14" s="11" t="n"/>
      <c r="G14" s="11" t="n"/>
      <c r="H14" s="11" t="n"/>
      <c r="I14" s="11" t="n"/>
      <c r="J14" s="11" t="n"/>
    </row>
    <row r="15" ht="30" customHeight="1">
      <c r="A15" s="11" t="n"/>
      <c r="B15" s="11" t="n"/>
      <c r="C15" s="11" t="n"/>
      <c r="D15" s="11" t="n"/>
      <c r="E15" s="11" t="n"/>
      <c r="F15" s="11" t="n"/>
      <c r="G15" s="11" t="n"/>
      <c r="H15" s="11" t="n"/>
      <c r="I15" s="11" t="n"/>
      <c r="J15" s="11" t="n"/>
    </row>
    <row r="16" ht="30" customHeight="1">
      <c r="A16" s="11" t="n"/>
      <c r="B16" s="11" t="n"/>
      <c r="C16" s="11" t="n"/>
      <c r="D16" s="11" t="n"/>
      <c r="E16" s="11" t="n"/>
      <c r="F16" s="11" t="n"/>
      <c r="G16" s="11" t="n"/>
      <c r="H16" s="11" t="n"/>
      <c r="I16" s="11" t="n"/>
      <c r="J16" s="11" t="n"/>
    </row>
    <row r="17" ht="30" customHeight="1">
      <c r="A17" s="11" t="n"/>
      <c r="B17" s="11" t="n"/>
      <c r="C17" s="11" t="n"/>
      <c r="D17" s="11" t="n"/>
      <c r="E17" s="11" t="n"/>
      <c r="F17" s="11" t="n"/>
      <c r="G17" s="11" t="n"/>
      <c r="H17" s="11" t="n"/>
      <c r="I17" s="11" t="n"/>
      <c r="J17" s="11" t="n"/>
    </row>
    <row r="18" ht="30" customHeight="1">
      <c r="A18" s="11" t="n"/>
      <c r="B18" s="11" t="n"/>
      <c r="C18" s="11" t="n"/>
      <c r="D18" s="11" t="n"/>
      <c r="E18" s="11" t="n"/>
      <c r="F18" s="11" t="n"/>
      <c r="G18" s="11" t="n"/>
      <c r="H18" s="11" t="n"/>
      <c r="I18" s="11" t="n"/>
      <c r="J18" s="11" t="n"/>
    </row>
    <row r="19" ht="30" customHeight="1">
      <c r="A19" s="11" t="n"/>
      <c r="B19" s="11" t="n"/>
      <c r="C19" s="11" t="n"/>
      <c r="D19" s="11" t="n"/>
      <c r="E19" s="11" t="n"/>
      <c r="F19" s="11" t="n"/>
      <c r="G19" s="11" t="n"/>
      <c r="H19" s="11" t="n"/>
      <c r="I19" s="11" t="n"/>
      <c r="J19" s="11" t="n"/>
    </row>
    <row r="20" ht="30" customHeight="1">
      <c r="A20" s="11" t="n"/>
      <c r="B20" s="11" t="n"/>
      <c r="C20" s="11" t="n"/>
      <c r="D20" s="11" t="n"/>
      <c r="E20" s="11" t="n"/>
      <c r="F20" s="11" t="n"/>
      <c r="G20" s="11" t="n"/>
      <c r="H20" s="11" t="n"/>
      <c r="I20" s="11" t="n"/>
      <c r="J20" s="11" t="n"/>
    </row>
    <row r="21" ht="30" customHeight="1">
      <c r="A21" s="11" t="n"/>
      <c r="B21" s="11" t="n"/>
      <c r="C21" s="11" t="n"/>
      <c r="D21" s="11" t="n"/>
      <c r="E21" s="11" t="n"/>
      <c r="F21" s="11" t="n"/>
      <c r="G21" s="11" t="n"/>
      <c r="H21" s="11" t="n"/>
      <c r="I21" s="11" t="n"/>
      <c r="J21" s="11" t="n"/>
    </row>
    <row r="22"/>
    <row r="23">
      <c r="A23" s="4" t="inlineStr">
        <is>
          <t>Summary</t>
        </is>
      </c>
      <c r="B23" s="4" t="n"/>
      <c r="C23" s="4" t="n"/>
      <c r="D23" s="4" t="n"/>
      <c r="E23" s="4" t="n"/>
      <c r="F23" s="4" t="n"/>
      <c r="G23" s="4" t="n"/>
      <c r="H23" s="4" t="n"/>
      <c r="I23" s="4" t="n"/>
      <c r="J23" s="4" t="n"/>
    </row>
    <row r="24">
      <c r="A24" s="3" t="inlineStr">
        <is>
          <t>Assessments recorded</t>
        </is>
      </c>
      <c r="B24" s="3" t="n"/>
      <c r="C24" s="20">
        <f>COUNTA(A12:A21)</f>
      </c>
    </row>
    <row r="25">
      <c r="A25" s="3" t="inlineStr">
        <is>
          <t>Not demonstrated</t>
        </is>
      </c>
      <c r="B25" s="3" t="n"/>
      <c r="C25" s="20">
        <f>COUNTIF(F12:F21,"Not demonstrated")</f>
      </c>
    </row>
    <row r="26" ht="34.7" customHeight="1">
      <c r="A26" s="3" t="inlineStr">
        <is>
          <t>Open remediation (gap not yet closed)</t>
        </is>
      </c>
      <c r="B26" s="3" t="n"/>
      <c r="C26" s="20">
        <f>COUNTIFS(H12:H21,"&lt;&gt;",I12:I21,"")</f>
      </c>
    </row>
    <row r="27" ht="34.7" customHeight="1">
      <c r="A27" s="3" t="inlineStr">
        <is>
          <t>Overdue for reassessment</t>
        </is>
      </c>
      <c r="B27" s="3" t="n"/>
      <c r="C27" s="20">
        <f>COUNTIF(J12:J21,"&lt;"&amp;TODAY())</f>
      </c>
    </row>
    <row r="28"/>
    <row r="29">
      <c r="A29" s="4" t="inlineStr">
        <is>
          <t>Findings</t>
        </is>
      </c>
      <c r="B29" s="4" t="n"/>
      <c r="C29" s="4" t="n"/>
      <c r="D29" s="4" t="n"/>
      <c r="E29" s="4" t="n"/>
      <c r="F29" s="4" t="n"/>
      <c r="G29" s="4" t="n"/>
      <c r="H29" s="4" t="n"/>
      <c r="I29" s="4" t="n"/>
      <c r="J29" s="4" t="n"/>
    </row>
    <row r="30" ht="32" customHeight="1">
      <c r="A30" s="8" t="inlineStr">
        <is>
          <t>« Summarize the competency picture for the period: who is current, where the gaps sit, and whether remediation is closing on time. Mirror items that need tracking into the Risk / Finding Register (POA&amp;M). »</t>
        </is>
      </c>
      <c r="B30" s="8" t="n"/>
      <c r="C30" s="8" t="n"/>
      <c r="D30" s="8" t="n"/>
      <c r="E30" s="8" t="n"/>
      <c r="F30" s="8" t="n"/>
      <c r="G30" s="8" t="n"/>
      <c r="H30" s="8" t="n"/>
      <c r="I30" s="8" t="n"/>
      <c r="J30" s="8" t="n"/>
    </row>
    <row r="31" ht="34" customHeight="1">
      <c r="A31" s="3" t="inlineStr">
        <is>
          <t>[Of the [X] personnel holding a technical or security-sensitive track, [Y] are currently assessed competent. Open gaps and their remediation dates are listed above. Report this summary to leadership on the review cycle, alongside completion rates.]</t>
        </is>
      </c>
      <c r="B31" s="3" t="n"/>
      <c r="C31" s="3" t="n"/>
      <c r="D31" s="3" t="n"/>
      <c r="E31" s="3" t="n"/>
      <c r="F31" s="3" t="n"/>
      <c r="G31" s="3" t="n"/>
      <c r="H31" s="3" t="n"/>
      <c r="I31" s="3" t="n"/>
      <c r="J31" s="3" t="n"/>
    </row>
    <row r="32"/>
    <row r="33">
      <c r="A33" s="4" t="inlineStr">
        <is>
          <t>Sign-off</t>
        </is>
      </c>
      <c r="B33" s="4" t="n"/>
      <c r="C33" s="4" t="n"/>
      <c r="D33" s="4" t="n"/>
      <c r="E33" s="4" t="n"/>
      <c r="F33" s="4" t="n"/>
      <c r="G33" s="4" t="n"/>
      <c r="H33" s="4" t="n"/>
      <c r="I33" s="4" t="n"/>
      <c r="J33" s="4" t="n"/>
    </row>
    <row r="34">
      <c r="A34" s="10" t="inlineStr">
        <is>
          <t>Role</t>
        </is>
      </c>
      <c r="B34" s="10" t="n"/>
      <c r="C34" s="10" t="inlineStr">
        <is>
          <t>Name</t>
        </is>
      </c>
      <c r="D34" s="10" t="inlineStr">
        <is>
          <t>Signature</t>
        </is>
      </c>
      <c r="E34" s="10" t="inlineStr">
        <is>
          <t>Date</t>
        </is>
      </c>
    </row>
    <row r="35">
      <c r="A35" s="11" t="inlineStr">
        <is>
          <t>[Reviewed by (role)]</t>
        </is>
      </c>
      <c r="B35" s="11" t="n"/>
      <c r="C35" s="11" t="n"/>
      <c r="D35" s="11" t="n"/>
      <c r="E35" s="11" t="n"/>
    </row>
    <row r="36">
      <c r="A36" s="11" t="inlineStr">
        <is>
          <t>[Approved by (role)]</t>
        </is>
      </c>
      <c r="B36" s="11" t="n"/>
      <c r="C36" s="11" t="n"/>
      <c r="D36" s="11" t="n"/>
      <c r="E36" s="11" t="n"/>
    </row>
    <row r="37"/>
    <row r="38">
      <c r="A38" s="4" t="inlineStr">
        <is>
          <t>Retention</t>
        </is>
      </c>
      <c r="B38" s="4" t="n"/>
      <c r="C38" s="4" t="n"/>
      <c r="D38" s="4" t="n"/>
      <c r="E38" s="4" t="n"/>
      <c r="F38" s="4" t="n"/>
      <c r="G38" s="4" t="n"/>
      <c r="H38" s="4" t="n"/>
      <c r="I38" s="4" t="n"/>
      <c r="J38" s="4" t="n"/>
    </row>
    <row r="39" ht="15" customHeight="1">
      <c r="A39" s="8" t="inlineStr">
        <is>
          <t>« State how long this record is retained and where, per the Document Handling Standard. »</t>
        </is>
      </c>
      <c r="B39" s="8" t="n"/>
      <c r="C39" s="8" t="n"/>
      <c r="D39" s="8" t="n"/>
      <c r="E39" s="8" t="n"/>
      <c r="F39" s="8" t="n"/>
      <c r="G39" s="8" t="n"/>
      <c r="H39" s="8" t="n"/>
      <c r="I39" s="8" t="n"/>
      <c r="J39" s="8" t="n"/>
    </row>
    <row r="40" ht="32" customHeight="1">
      <c r="A40" s="3" t="inlineStr">
        <is>
          <t>Retention: current year plus the prior two years at minimum, so a competency trend is visible across review cycles and against credential renewal dates, stored and handled per the Document Handling Standard.</t>
        </is>
      </c>
      <c r="B40" s="3" t="n"/>
      <c r="C40" s="3" t="n"/>
      <c r="D40" s="3" t="n"/>
      <c r="E40" s="3" t="n"/>
      <c r="F40" s="3" t="n"/>
      <c r="G40" s="3" t="n"/>
      <c r="H40" s="3" t="n"/>
      <c r="I40" s="3" t="n"/>
      <c r="J40" s="3" t="n"/>
    </row>
    <row r="41"/>
    <row r="42">
      <c r="A42" s="4" t="inlineStr">
        <is>
          <t>Source Authority</t>
        </is>
      </c>
      <c r="B42" s="4" t="n"/>
      <c r="C42" s="4" t="n"/>
      <c r="D42" s="4" t="n"/>
      <c r="E42" s="4" t="n"/>
      <c r="F42" s="4" t="n"/>
      <c r="G42" s="4" t="n"/>
      <c r="H42" s="4" t="n"/>
      <c r="I42" s="4" t="n"/>
      <c r="J42" s="4" t="n"/>
    </row>
    <row r="43" ht="32" customHeight="1">
      <c r="A43" s="8" t="inlineStr">
        <is>
          <t>« List only the authorities that map to this artifact. Group by authority; order numerically. No padding. »</t>
        </is>
      </c>
      <c r="B43" s="8" t="n"/>
      <c r="C43" s="8" t="n"/>
      <c r="D43" s="8" t="n"/>
      <c r="E43" s="8" t="n"/>
      <c r="F43" s="8" t="n"/>
      <c r="G43" s="8" t="n"/>
      <c r="H43" s="8" t="n"/>
      <c r="I43" s="8" t="n"/>
      <c r="J43" s="8" t="n"/>
    </row>
    <row r="44" ht="30" customHeight="1">
      <c r="A44" s="3" t="inlineStr">
        <is>
          <t>NENA-STA-040.2-2024: §5.1 (Cybersecurity Training); §5.1.2 (Technician Security Training)</t>
        </is>
      </c>
      <c r="B44" s="3" t="n"/>
      <c r="C44" s="3" t="n"/>
      <c r="D44" s="3" t="n"/>
      <c r="E44" s="3" t="n"/>
      <c r="F44" s="3" t="n"/>
      <c r="G44" s="3" t="n"/>
      <c r="H44" s="3" t="n"/>
      <c r="I44" s="3" t="n"/>
      <c r="J44" s="3" t="n"/>
    </row>
    <row r="45" ht="15" customHeight="1">
      <c r="A45" s="3" t="inlineStr">
        <is>
          <t>NIST SP 800-53 Rev. 5: AT-3, AT-4, AT-6, PM-13, PM-14</t>
        </is>
      </c>
      <c r="B45" s="3" t="n"/>
      <c r="C45" s="3" t="n"/>
      <c r="D45" s="3" t="n"/>
      <c r="E45" s="3" t="n"/>
      <c r="F45" s="3" t="n"/>
      <c r="G45" s="3" t="n"/>
      <c r="H45" s="3" t="n"/>
      <c r="I45" s="3" t="n"/>
      <c r="J45" s="3" t="n"/>
    </row>
    <row r="46" ht="30" customHeight="1">
      <c r="A46" s="3" t="inlineStr">
        <is>
          <t>Indiana statutes and administrative code: IC 36-8-16.7 (Statewide 911, allowable training uses); IC 36-8-16.8 (Public Safety Telecommunicator Training); 240 IAC 5 (IDACS)</t>
        </is>
      </c>
      <c r="B46" s="3" t="n"/>
      <c r="C46" s="3" t="n"/>
      <c r="D46" s="3" t="n"/>
      <c r="E46" s="3" t="n"/>
      <c r="F46" s="3" t="n"/>
      <c r="G46" s="3" t="n"/>
      <c r="H46" s="3" t="n"/>
      <c r="I46" s="3" t="n"/>
      <c r="J46" s="3" t="n"/>
    </row>
    <row r="47" ht="30" customHeight="1">
      <c r="A47" s="3" t="inlineStr">
        <is>
          <t>CJIS Security Policy v5.9: §5.2 (Security Awareness Training) (CJIS-regulated data in scope, via IDACS)</t>
        </is>
      </c>
      <c r="B47" s="3" t="n"/>
      <c r="C47" s="3" t="n"/>
      <c r="D47" s="3" t="n"/>
      <c r="E47" s="3" t="n"/>
      <c r="F47" s="3" t="n"/>
      <c r="G47" s="3" t="n"/>
      <c r="H47" s="3" t="n"/>
      <c r="I47" s="3" t="n"/>
      <c r="J47" s="3" t="n"/>
    </row>
    <row r="48"/>
    <row r="49">
      <c r="A49" s="4" t="inlineStr">
        <is>
          <t>Revision History</t>
        </is>
      </c>
      <c r="B49" s="4" t="n"/>
      <c r="C49" s="4" t="n"/>
      <c r="D49" s="4" t="n"/>
      <c r="E49" s="4" t="n"/>
      <c r="F49" s="4" t="n"/>
      <c r="G49" s="4" t="n"/>
      <c r="H49" s="4" t="n"/>
      <c r="I49" s="4" t="n"/>
      <c r="J49" s="4" t="n"/>
    </row>
    <row r="50">
      <c r="A50" s="10" t="inlineStr">
        <is>
          <t>Version</t>
        </is>
      </c>
      <c r="B50" s="10" t="n"/>
      <c r="C50" s="10" t="inlineStr">
        <is>
          <t>Date</t>
        </is>
      </c>
      <c r="D50" s="10" t="inlineStr">
        <is>
          <t>Author</t>
        </is>
      </c>
      <c r="E50" s="10" t="inlineStr">
        <is>
          <t>Summary of Change</t>
        </is>
      </c>
      <c r="F50" s="10" t="n"/>
      <c r="G50" s="10" t="n"/>
    </row>
    <row r="51">
      <c r="A51" s="11" t="inlineStr">
        <is>
          <t>[#]</t>
        </is>
      </c>
      <c r="B51" s="11" t="n"/>
      <c r="C51" s="11" t="inlineStr">
        <is>
          <t>[Date]</t>
        </is>
      </c>
      <c r="D51" s="11" t="inlineStr">
        <is>
          <t>[Role]</t>
        </is>
      </c>
      <c r="E51" s="11" t="inlineStr">
        <is>
          <t>[Initial issue]</t>
        </is>
      </c>
      <c r="F51" s="11" t="n"/>
      <c r="G51" s="11" t="n"/>
    </row>
    <row r="52"/>
    <row r="53" ht="132" customHeight="1">
      <c r="A53" s="2" t="inlineStr">
        <is>
          <t>Drafter’s note (internal, delete before publishing): Log / Record form, build-order #84, the last deferred artifact. Two sheets by decision: an assessment is a dated event, a credential is a standing status with an expiry, so forcing both into one log leaves half the columns blank on every row (same reasoning as the two-sheet Key Rotation Schedule and Approved Vendor / Product List). The seam against the Training Completion Records is deliberate and stated in Coverage / Scope: that log records attendance and the pass mark, this record records the judgment against the passing bar plus the gap and its remediation, which is why the Result column carries Demonstrated / Demonstrated with gap / Not demonstrated rather than a score. Scope is written as a rule, not a frozen track list, so it survives a track being added: mandatory for Role-Specific Training Materials Tracks A through D, optional for E, F and G where the Agency assesses by demonstration. Classification is Confidential / CJIS because the record names individuals and holds failure data, which is more sensitive than a completion roster. [Confirm the review cadence and who reports the competency summary to leadership.] [Confirm whether the Agency sponsors credentials, which decides whether the Credentials &amp; CE sheet is used or ships empty.]</t>
        </is>
      </c>
      <c r="B53" s="2" t="n"/>
      <c r="C53" s="2" t="n"/>
      <c r="D53" s="2" t="n"/>
      <c r="E53" s="2" t="n"/>
      <c r="F53" s="2" t="n"/>
      <c r="G53" s="2" t="n"/>
      <c r="H53" s="2" t="n"/>
      <c r="I53" s="2" t="n"/>
      <c r="J53" s="2" t="n"/>
    </row>
    <row r="54"/>
    <row r="55"/>
    <row r="56"/>
    <row r="57"/>
    <row r="58"/>
    <row r="59"/>
    <row r="60"/>
    <row r="200"/>
  </sheetData>
  <mergeCells count="40">
    <mergeCell ref="A47:J47"/>
    <mergeCell ref="A23:J23"/>
    <mergeCell ref="A24:B24"/>
    <mergeCell ref="C6:G6"/>
    <mergeCell ref="A51:B51"/>
    <mergeCell ref="A53:J53"/>
    <mergeCell ref="C5:G5"/>
    <mergeCell ref="A29:J29"/>
    <mergeCell ref="A33:J33"/>
    <mergeCell ref="A36:B36"/>
    <mergeCell ref="A38:J38"/>
    <mergeCell ref="A43:J43"/>
    <mergeCell ref="A10:J10"/>
    <mergeCell ref="A6:B6"/>
    <mergeCell ref="A44:J44"/>
    <mergeCell ref="C4:G4"/>
    <mergeCell ref="A31:J31"/>
    <mergeCell ref="A7:B7"/>
    <mergeCell ref="A25:B25"/>
    <mergeCell ref="A40:J40"/>
    <mergeCell ref="A9:J9"/>
    <mergeCell ref="A30:J30"/>
    <mergeCell ref="A39:J39"/>
    <mergeCell ref="A27:B27"/>
    <mergeCell ref="A3:B3"/>
    <mergeCell ref="A34:B34"/>
    <mergeCell ref="A49:J49"/>
    <mergeCell ref="A50:B50"/>
    <mergeCell ref="A1:J1"/>
    <mergeCell ref="A26:B26"/>
    <mergeCell ref="A45:J45"/>
    <mergeCell ref="A5:B5"/>
    <mergeCell ref="E50:G50"/>
    <mergeCell ref="A35:B35"/>
    <mergeCell ref="A4:B4"/>
    <mergeCell ref="C7:G7"/>
    <mergeCell ref="A46:J46"/>
    <mergeCell ref="A42:J42"/>
    <mergeCell ref="E51:G51"/>
    <mergeCell ref="C3:G3"/>
  </mergeCells>
  <dataValidations count="1">
    <dataValidation sqref="F12:F21" showDropDown="0" showInputMessage="0" showErrorMessage="0" allowBlank="1" promptTitle="Result vs Passing Bar" prompt="Select a value" type="list">
      <formula1>"Demonstrated,Demonstrated with gap,Not demonstrated"</formula1>
      <formula2>0</formula2>
    </dataValidation>
  </dataValidations>
  <pageMargins left="0.75" right="0.75" top="1" bottom="1" header="0.511811023622047" footer="0.511811023622047"/>
  <pageSetup paperSize="1" orientation="landscape" fitToWidth="1" fitToHeight="0"/>
</worksheet>
</file>

<file path=xl/worksheets/sheet2.xml><?xml version="1.0" encoding="utf-8"?>
<worksheet xmlns="http://schemas.openxmlformats.org/spreadsheetml/2006/main">
  <sheetPr>
    <outlinePr summaryBelow="1" summaryRight="1"/>
    <pageSetUpPr fitToPage="1"/>
  </sheetPr>
  <dimension ref="A1:G19"/>
  <sheetViews>
    <sheetView showGridLines="0" workbookViewId="0">
      <pane ySplit="4" topLeftCell="A5" activePane="bottomLeft" state="frozen"/>
      <selection pane="bottomLeft" activeCell="A5" sqref="A5"/>
    </sheetView>
  </sheetViews>
  <sheetFormatPr baseColWidth="8" defaultRowHeight="15"/>
  <cols>
    <col width="26" customWidth="1" min="1" max="1"/>
    <col width="30" customWidth="1" min="2" max="2"/>
    <col width="13" customWidth="1" min="3" max="3"/>
    <col width="13" customWidth="1" min="4" max="4"/>
    <col width="24" customWidth="1" min="5" max="5"/>
    <col width="18" customWidth="1" min="6" max="6"/>
    <col width="24" customWidth="1" min="7" max="7"/>
  </cols>
  <sheetData>
    <row r="1" ht="25.5" customHeight="1">
      <c r="A1" s="9" t="inlineStr">
        <is>
          <t>Credential &amp; Continuing Education Register</t>
        </is>
      </c>
      <c r="B1" s="9" t="n"/>
      <c r="C1" s="9" t="n"/>
      <c r="D1" s="9" t="n"/>
      <c r="E1" s="9" t="n"/>
      <c r="F1" s="9" t="n"/>
      <c r="G1" s="9" t="n"/>
    </row>
    <row r="2" ht="60" customHeight="1">
      <c r="A2" s="8" t="inlineStr">
        <is>
          <t>« One row per person per credential or continuing-education commitment. This sheet answers whether capability is being maintained, not whether it was once demonstrated. An agency that sponsors nothing leaves it empty and records its no-cost path in the Cybersecurity Training Plan instead: that is a valid state, not a gap. »</t>
        </is>
      </c>
      <c r="B2" s="8" t="n"/>
      <c r="C2" s="8" t="n"/>
      <c r="D2" s="8" t="n"/>
      <c r="E2" s="8" t="n"/>
      <c r="F2" s="8" t="n"/>
      <c r="G2" s="8" t="n"/>
    </row>
    <row r="4" ht="34.7" customHeight="1">
      <c r="A4" s="10" t="inlineStr">
        <is>
          <t>Staff Member (Name &amp; Role)</t>
        </is>
      </c>
      <c r="B4" s="10" t="inlineStr">
        <is>
          <t>Credential / Course</t>
        </is>
      </c>
      <c r="C4" s="10" t="inlineStr">
        <is>
          <t>Awarded</t>
        </is>
      </c>
      <c r="D4" s="10" t="inlineStr">
        <is>
          <t>Expires</t>
        </is>
      </c>
      <c r="E4" s="10" t="inlineStr">
        <is>
          <t>CE Credits Required / Earned</t>
        </is>
      </c>
      <c r="F4" s="10" t="inlineStr">
        <is>
          <t>Agency Sponsored (Y/N)</t>
        </is>
      </c>
      <c r="G4" s="10" t="inlineStr">
        <is>
          <t>Renewal Status</t>
        </is>
      </c>
    </row>
    <row r="5" ht="34.7" customHeight="1">
      <c r="A5" s="11" t="inlineStr">
        <is>
          <t>[Name, IT support]</t>
        </is>
      </c>
      <c r="B5" s="11" t="inlineStr">
        <is>
          <t>[General technician-level security certification]</t>
        </is>
      </c>
      <c r="C5" s="11" t="inlineStr">
        <is>
          <t>[YYYY-MM-DD]</t>
        </is>
      </c>
      <c r="D5" s="11" t="inlineStr">
        <is>
          <t>[YYYY-MM-DD]</t>
        </is>
      </c>
      <c r="E5" s="11" t="inlineStr">
        <is>
          <t>[credits required / earned]</t>
        </is>
      </c>
      <c r="F5" s="11" t="inlineStr">
        <is>
          <t>[Y]</t>
        </is>
      </c>
      <c r="G5" s="11" t="inlineStr">
        <is>
          <t>[Current]</t>
        </is>
      </c>
    </row>
    <row r="6" ht="34.7" customHeight="1">
      <c r="A6" s="11" t="inlineStr">
        <is>
          <t>[Name, Security Coordinator]</t>
        </is>
      </c>
      <c r="B6" s="11" t="inlineStr">
        <is>
          <t>[Analyst-level detection and response certification]</t>
        </is>
      </c>
      <c r="C6" s="11" t="inlineStr">
        <is>
          <t>[YYYY-MM-DD]</t>
        </is>
      </c>
      <c r="D6" s="11" t="inlineStr">
        <is>
          <t>[YYYY-MM-DD]</t>
        </is>
      </c>
      <c r="E6" s="11" t="inlineStr">
        <is>
          <t>[credits required / earned]</t>
        </is>
      </c>
      <c r="F6" s="11" t="inlineStr">
        <is>
          <t>[Y]</t>
        </is>
      </c>
      <c r="G6" s="11" t="inlineStr">
        <is>
          <t>[In renewal]</t>
        </is>
      </c>
    </row>
    <row r="7" ht="26" customHeight="1">
      <c r="A7" s="11" t="n"/>
      <c r="B7" s="11" t="n"/>
      <c r="C7" s="11" t="n"/>
      <c r="D7" s="11" t="n"/>
      <c r="E7" s="11" t="n"/>
      <c r="F7" s="11" t="n"/>
      <c r="G7" s="11" t="n"/>
    </row>
    <row r="8" ht="26" customHeight="1">
      <c r="A8" s="11" t="n"/>
      <c r="B8" s="11" t="n"/>
      <c r="C8" s="11" t="n"/>
      <c r="D8" s="11" t="n"/>
      <c r="E8" s="11" t="n"/>
      <c r="F8" s="11" t="n"/>
      <c r="G8" s="11" t="n"/>
    </row>
    <row r="9" ht="26" customHeight="1">
      <c r="A9" s="11" t="n"/>
      <c r="B9" s="11" t="n"/>
      <c r="C9" s="11" t="n"/>
      <c r="D9" s="11" t="n"/>
      <c r="E9" s="11" t="n"/>
      <c r="F9" s="11" t="n"/>
      <c r="G9" s="11" t="n"/>
    </row>
    <row r="10" ht="26" customHeight="1">
      <c r="A10" s="11" t="n"/>
      <c r="B10" s="11" t="n"/>
      <c r="C10" s="11" t="n"/>
      <c r="D10" s="11" t="n"/>
      <c r="E10" s="11" t="n"/>
      <c r="F10" s="11" t="n"/>
      <c r="G10" s="11" t="n"/>
    </row>
    <row r="11" ht="26" customHeight="1">
      <c r="A11" s="11" t="n"/>
      <c r="B11" s="11" t="n"/>
      <c r="C11" s="11" t="n"/>
      <c r="D11" s="11" t="n"/>
      <c r="E11" s="11" t="n"/>
      <c r="F11" s="11" t="n"/>
      <c r="G11" s="11" t="n"/>
    </row>
    <row r="12" ht="26" customHeight="1">
      <c r="A12" s="11" t="n"/>
      <c r="B12" s="11" t="n"/>
      <c r="C12" s="11" t="n"/>
      <c r="D12" s="11" t="n"/>
      <c r="E12" s="11" t="n"/>
      <c r="F12" s="11" t="n"/>
      <c r="G12" s="11" t="n"/>
    </row>
    <row r="13" ht="26" customHeight="1">
      <c r="A13" s="11" t="n"/>
      <c r="B13" s="11" t="n"/>
      <c r="C13" s="11" t="n"/>
      <c r="D13" s="11" t="n"/>
      <c r="E13" s="11" t="n"/>
      <c r="F13" s="11" t="n"/>
      <c r="G13" s="11" t="n"/>
    </row>
    <row r="14" ht="26" customHeight="1">
      <c r="A14" s="11" t="n"/>
      <c r="B14" s="11" t="n"/>
      <c r="C14" s="11" t="n"/>
      <c r="D14" s="11" t="n"/>
      <c r="E14" s="11" t="n"/>
      <c r="F14" s="11" t="n"/>
      <c r="G14" s="11" t="n"/>
    </row>
    <row r="16">
      <c r="A16" s="4" t="inlineStr">
        <is>
          <t>Summary</t>
        </is>
      </c>
      <c r="B16" s="4" t="n"/>
      <c r="C16" s="4" t="n"/>
      <c r="D16" s="4" t="n"/>
      <c r="E16" s="4" t="n"/>
      <c r="F16" s="4" t="n"/>
      <c r="G16" s="4" t="n"/>
    </row>
    <row r="17">
      <c r="A17" s="3" t="inlineStr">
        <is>
          <t>Credentials tracked</t>
        </is>
      </c>
      <c r="B17" s="3" t="n"/>
      <c r="C17" s="20">
        <f>COUNTA(B5:B14)</f>
      </c>
    </row>
    <row r="18">
      <c r="A18" s="3" t="inlineStr">
        <is>
          <t>Expiring within 90 days</t>
        </is>
      </c>
      <c r="B18" s="3" t="n"/>
      <c r="C18" s="20">
        <f>COUNTIFS(D5:D14,"&gt;="&amp;TODAY(),D5:D14,"&lt;="&amp;TODAY()+90)</f>
      </c>
    </row>
    <row r="19">
      <c r="A19" s="3" t="inlineStr">
        <is>
          <t>Lapsed</t>
        </is>
      </c>
      <c r="B19" s="3" t="n"/>
      <c r="C19" s="20">
        <f>COUNTIF(D5:D14,"&lt;"&amp;TODAY())</f>
      </c>
    </row>
  </sheetData>
  <mergeCells count="6">
    <mergeCell ref="A1:G1"/>
    <mergeCell ref="A19:B19"/>
    <mergeCell ref="A16:G16"/>
    <mergeCell ref="A2:G2"/>
    <mergeCell ref="A17:B17"/>
    <mergeCell ref="A18:B18"/>
  </mergeCells>
  <pageMargins left="0.75" right="0.75" top="1" bottom="1" header="0.511811023622047" footer="0.511811023622047"/>
  <pageSetup paperSize="1" orientation="landscape" fitToWidth="1" fitToHeight="0"/>
</worksheet>
</file>

<file path=xl/worksheets/sheet3.xml><?xml version="1.0" encoding="utf-8"?>
<worksheet xmlns="http://schemas.openxmlformats.org/spreadsheetml/2006/main">
  <sheetPr>
    <outlinePr summaryBelow="1" summaryRight="1"/>
    <pageSetUpPr fitToPage="1"/>
  </sheetPr>
  <dimension ref="A1:T200"/>
  <sheetViews>
    <sheetView showGridLines="0" zoomScaleNormal="100" workbookViewId="0">
      <selection activeCell="A1" sqref="A1"/>
    </sheetView>
  </sheetViews>
  <sheetFormatPr baseColWidth="10" defaultColWidth="8.6640625" defaultRowHeight="15"/>
  <cols>
    <col width="30" customWidth="1" min="1" max="1"/>
    <col width="58" customWidth="1" min="2" max="2"/>
    <col width="12" customWidth="1" min="3" max="3"/>
    <col width="30" customWidth="1" min="4" max="4"/>
  </cols>
  <sheetData>
    <row r="1" ht="25.5" customHeight="1">
      <c r="A1" s="9" t="inlineStr">
        <is>
          <t>Column Instructions &amp; How to Use</t>
        </is>
      </c>
      <c r="B1" s="9" t="n"/>
      <c r="C1" s="9" t="n"/>
      <c r="D1" s="9" t="n"/>
    </row>
    <row r="2" ht="66.4" customHeight="1">
      <c r="A2" s="1" t="inlineStr">
        <is>
          <t>How to use this template: record each competency assessment on the Competency Assessments sheet, one row per person per assessment, and each credential or continuing-education commitment on the Credentials &amp; CE sheet. This record holds demonstrated capability; course attendance and the pass mark belong in the Training Completion Records. Replace every [BRACKETED] field and delete every « » note before publishing.</t>
        </is>
      </c>
      <c r="B2" s="1" t="n"/>
      <c r="C2" s="1" t="n"/>
      <c r="D2" s="1" t="n"/>
    </row>
    <row r="3" ht="34.7" customHeight="1">
      <c r="A3" s="8" t="inlineStr">
        <is>
          <t>Placeholder key:  [BRACKETED] = fill in   ·   « » = guidance to delete.  Classification, coverage, findings, sign-off, retention and revision history live on the Competency Assessments sheet.</t>
        </is>
      </c>
      <c r="B3" s="8" t="n"/>
      <c r="C3" s="8" t="n"/>
      <c r="D3" s="8" t="n"/>
    </row>
    <row r="4"/>
    <row r="5" ht="16" customHeight="1">
      <c r="A5" s="14" t="inlineStr">
        <is>
          <t>The columns on the Competency Assessments sheet</t>
        </is>
      </c>
    </row>
    <row r="6" ht="24" customHeight="1">
      <c r="A6" s="10" t="inlineStr">
        <is>
          <t>Column</t>
        </is>
      </c>
      <c r="B6" s="10" t="inlineStr">
        <is>
          <t>What it holds</t>
        </is>
      </c>
      <c r="C6" s="10" t="inlineStr">
        <is>
          <t>Required?</t>
        </is>
      </c>
      <c r="D6" s="10" t="inlineStr">
        <is>
          <t>Example value</t>
        </is>
      </c>
    </row>
    <row r="7" ht="32" customHeight="1">
      <c r="A7" s="15" t="inlineStr">
        <is>
          <t>Entry #</t>
        </is>
      </c>
      <c r="B7" s="11" t="inlineStr">
        <is>
          <t>Sequential entry number, stable once assigned.</t>
        </is>
      </c>
      <c r="C7" s="11" t="inlineStr">
        <is>
          <t>Required</t>
        </is>
      </c>
      <c r="D7" s="11" t="inlineStr">
        <is>
          <t>0001</t>
        </is>
      </c>
    </row>
    <row r="8" ht="32" customHeight="1">
      <c r="A8" s="15" t="inlineStr">
        <is>
          <t>Date</t>
        </is>
      </c>
      <c r="B8" s="11" t="inlineStr">
        <is>
          <t>Date the assessment was carried out.</t>
        </is>
      </c>
      <c r="C8" s="11" t="inlineStr">
        <is>
          <t>Required</t>
        </is>
      </c>
      <c r="D8" s="21">
        <v>46085</v>
      </c>
    </row>
    <row r="9" ht="34.7" customHeight="1">
      <c r="A9" s="15" t="inlineStr">
        <is>
          <t>Staff Member (Name &amp; Role)</t>
        </is>
      </c>
      <c r="B9" s="11" t="inlineStr">
        <is>
          <t>The person assessed and their role. Names a person: this is why the record is Confidential.</t>
        </is>
      </c>
      <c r="C9" s="11" t="inlineStr">
        <is>
          <t>Required</t>
        </is>
      </c>
      <c r="D9" s="11" t="inlineStr">
        <is>
          <t>J. Reed, IT support</t>
        </is>
      </c>
    </row>
    <row r="10" ht="34.7" customHeight="1">
      <c r="A10" s="15" t="inlineStr">
        <is>
          <t>Track / Competency Assessed</t>
        </is>
      </c>
      <c r="B10" s="11" t="inlineStr">
        <is>
          <t>Which training track’s competency was assessed, named as it appears in the Role-Specific Training Materials.</t>
        </is>
      </c>
      <c r="C10" s="11" t="inlineStr">
        <is>
          <t>Required</t>
        </is>
      </c>
      <c r="D10" s="11" t="inlineStr">
        <is>
          <t>Track A: Secure Configuration and Maintenance</t>
        </is>
      </c>
    </row>
    <row r="11" ht="34.7" customHeight="1">
      <c r="A11" s="15" t="inlineStr">
        <is>
          <t>Assessment Method</t>
        </is>
      </c>
      <c r="B11" s="11" t="inlineStr">
        <is>
          <t>How competency was demonstrated: walkthrough, scenario set, tabletop decision log, observed check.</t>
        </is>
      </c>
      <c r="C11" s="11" t="inlineStr">
        <is>
          <t>Required</t>
        </is>
      </c>
      <c r="D11" s="11" t="inlineStr">
        <is>
          <t>Baseline walkthrough on one system</t>
        </is>
      </c>
    </row>
    <row r="12" ht="34.7" customHeight="1">
      <c r="A12" s="15" t="inlineStr">
        <is>
          <t>Result vs Passing Bar</t>
        </is>
      </c>
      <c r="B12" s="11" t="inlineStr">
        <is>
          <t>Demonstrated, Demonstrated with gap, or Not demonstrated, judged against that track’s stated passing bar. Not a score.</t>
        </is>
      </c>
      <c r="C12" s="11" t="inlineStr">
        <is>
          <t>Required</t>
        </is>
      </c>
      <c r="D12" s="11" t="inlineStr">
        <is>
          <t>Demonstrated with gap</t>
        </is>
      </c>
    </row>
    <row r="13" ht="34.7" customHeight="1">
      <c r="A13" s="15" t="inlineStr">
        <is>
          <t>Gap Observed</t>
        </is>
      </c>
      <c r="B13" s="11" t="inlineStr">
        <is>
          <t>What the person could not demonstrate. Required unless the result is Demonstrated.</t>
        </is>
      </c>
      <c r="C13" s="11" t="inlineStr">
        <is>
          <t>Conditional</t>
        </is>
      </c>
      <c r="D13" s="11" t="inlineStr">
        <is>
          <t>Missed the two-business-day reporting clock</t>
        </is>
      </c>
    </row>
    <row r="14" ht="34.7" customHeight="1">
      <c r="A14" s="15" t="inlineStr">
        <is>
          <t>Remediation &amp; Due Date</t>
        </is>
      </c>
      <c r="B14" s="11" t="inlineStr">
        <is>
          <t>What closes the gap and by when. Mirror anything material into the Risk / Finding Register (POA&amp;M).</t>
        </is>
      </c>
      <c r="C14" s="11" t="inlineStr">
        <is>
          <t>Conditional</t>
        </is>
      </c>
      <c r="D14" s="11" t="inlineStr">
        <is>
          <t>Re-brief on notification timelines by 2026-04-15</t>
        </is>
      </c>
    </row>
    <row r="15" ht="34.7" customHeight="1">
      <c r="A15" s="15" t="inlineStr">
        <is>
          <t>Reassessed / Closed</t>
        </is>
      </c>
      <c r="B15" s="11" t="inlineStr">
        <is>
          <t>Date the gap was reassessed and closed. Blank means the remediation is open.</t>
        </is>
      </c>
      <c r="C15" s="11" t="inlineStr">
        <is>
          <t>Conditional</t>
        </is>
      </c>
      <c r="D15" s="21">
        <v>46123</v>
      </c>
    </row>
    <row r="16" ht="34.7" customHeight="1">
      <c r="A16" s="15" t="inlineStr">
        <is>
          <t>Next Assessment Due</t>
        </is>
      </c>
      <c r="B16" s="11" t="inlineStr">
        <is>
          <t>When this competency must next be demonstrated. Drives the overdue count.</t>
        </is>
      </c>
      <c r="C16" s="11" t="inlineStr">
        <is>
          <t>Required</t>
        </is>
      </c>
      <c r="D16" s="21">
        <v>46450</v>
      </c>
    </row>
    <row r="17" ht="42" customHeight="1"/>
    <row r="18" ht="42" customHeight="1">
      <c r="A18" s="14" t="inlineStr">
        <is>
          <t>The columns on the Credentials &amp; CE sheet</t>
        </is>
      </c>
    </row>
    <row r="19" ht="42" customHeight="1">
      <c r="A19" s="10" t="inlineStr">
        <is>
          <t>Column</t>
        </is>
      </c>
      <c r="B19" s="10" t="inlineStr">
        <is>
          <t>What it holds</t>
        </is>
      </c>
      <c r="C19" s="10" t="inlineStr">
        <is>
          <t>Required?</t>
        </is>
      </c>
      <c r="D19" s="10" t="inlineStr">
        <is>
          <t>Example value</t>
        </is>
      </c>
    </row>
    <row r="20" ht="32" customHeight="1">
      <c r="A20" s="15" t="inlineStr">
        <is>
          <t>Staff Member (Name &amp; Role)</t>
        </is>
      </c>
      <c r="B20" s="11" t="inlineStr">
        <is>
          <t>The person holding the credential and their role.</t>
        </is>
      </c>
      <c r="C20" s="11" t="inlineStr">
        <is>
          <t>Required</t>
        </is>
      </c>
      <c r="D20" s="11" t="inlineStr">
        <is>
          <t>D. Mercer, Security Coordinator</t>
        </is>
      </c>
    </row>
    <row r="21" ht="34.7" customHeight="1">
      <c r="A21" s="15" t="inlineStr">
        <is>
          <t>Credential / Course</t>
        </is>
      </c>
      <c r="B21" s="11" t="inlineStr">
        <is>
          <t>The credential or continuing-education commitment.</t>
        </is>
      </c>
      <c r="C21" s="11" t="inlineStr">
        <is>
          <t>Required</t>
        </is>
      </c>
      <c r="D21" s="11" t="inlineStr">
        <is>
          <t>Analyst-level detection and response certification</t>
        </is>
      </c>
    </row>
    <row r="22" ht="32" customHeight="1">
      <c r="A22" s="15" t="inlineStr">
        <is>
          <t>Awarded</t>
        </is>
      </c>
      <c r="B22" s="11" t="inlineStr">
        <is>
          <t>Date awarded or completed.</t>
        </is>
      </c>
      <c r="C22" s="11" t="inlineStr">
        <is>
          <t>Required</t>
        </is>
      </c>
      <c r="D22" s="21">
        <v>45912</v>
      </c>
    </row>
    <row r="23" ht="32" customHeight="1">
      <c r="A23" s="15" t="inlineStr">
        <is>
          <t>Expires</t>
        </is>
      </c>
      <c r="B23" s="11" t="inlineStr">
        <is>
          <t>Expiry or renewal date. Drives the expiring and lapsed counts.</t>
        </is>
      </c>
      <c r="C23" s="11" t="inlineStr">
        <is>
          <t>Required</t>
        </is>
      </c>
      <c r="D23" s="21">
        <v>47008</v>
      </c>
    </row>
    <row r="24" ht="34.7" customHeight="1">
      <c r="A24" s="15" t="inlineStr">
        <is>
          <t>CE Credits Required / Earned</t>
        </is>
      </c>
      <c r="B24" s="11" t="inlineStr">
        <is>
          <t>Continuing-education credits the credential requires, and credits earned so far in the current cycle.</t>
        </is>
      </c>
      <c r="C24" s="11" t="inlineStr">
        <is>
          <t>Conditional</t>
        </is>
      </c>
      <c r="D24" s="11" t="inlineStr">
        <is>
          <t>40 / 22</t>
        </is>
      </c>
    </row>
    <row r="25" ht="34.7" customHeight="1">
      <c r="A25" s="15" t="inlineStr">
        <is>
          <t>Agency Sponsored (Y/N)</t>
        </is>
      </c>
      <c r="B25" s="11" t="inlineStr">
        <is>
          <t>Whether the Agency funded it. Drives any service commitment stated in the Role-Specific Training Materials.</t>
        </is>
      </c>
      <c r="C25" s="11" t="inlineStr">
        <is>
          <t>Required</t>
        </is>
      </c>
      <c r="D25" s="11" t="inlineStr">
        <is>
          <t>Y</t>
        </is>
      </c>
    </row>
    <row r="26" ht="32" customHeight="1">
      <c r="A26" s="15" t="inlineStr">
        <is>
          <t>Renewal Status</t>
        </is>
      </c>
      <c r="B26" s="11" t="inlineStr">
        <is>
          <t>Current, In renewal, or Lapsed, with the action if not current.</t>
        </is>
      </c>
      <c r="C26" s="11" t="inlineStr">
        <is>
          <t>Required</t>
        </is>
      </c>
      <c r="D26" s="11" t="inlineStr">
        <is>
          <t>Current</t>
        </is>
      </c>
    </row>
    <row r="27"/>
    <row r="28">
      <c r="A28" s="16" t="inlineStr">
        <is>
          <t>Profile Scaling Notes</t>
        </is>
      </c>
      <c r="B28" s="16" t="n"/>
      <c r="C28" s="16" t="n"/>
      <c r="D28" s="16" t="n"/>
    </row>
    <row r="29">
      <c r="A29" s="17" t="inlineStr">
        <is>
          <t>What minimum-viable upkeep looks like at each PSAP size. Keep all three rows while this ships as a template; once adopted, keep the one that fits.</t>
        </is>
      </c>
      <c r="B29" s="17" t="n"/>
      <c r="C29" s="17" t="n"/>
      <c r="D29" s="17" t="n"/>
    </row>
    <row r="30">
      <c r="A30" s="10" t="inlineStr">
        <is>
          <t>PSAP Profile</t>
        </is>
      </c>
      <c r="B30" s="10" t="inlineStr">
        <is>
          <t>Minimum-viable implementation</t>
        </is>
      </c>
      <c r="C30" s="10" t="n"/>
      <c r="D30" s="10" t="n"/>
    </row>
    <row r="31" ht="50.5" customHeight="1">
      <c r="A31" s="18" t="inlineStr">
        <is>
          <t>Small (1–5, no in-house IT)</t>
        </is>
      </c>
      <c r="B31" s="19" t="inlineStr">
        <is>
          <t>Maintain both sheets by hand. With one or two people holding most tracks, an assessment is the director watching the work and writing down what was demonstrated. Where nothing is sponsored, the credential sheet stays empty and the no-cost path is recorded in the Cybersecurity Training Plan.</t>
        </is>
      </c>
      <c r="C31" s="19" t="n"/>
      <c r="D31" s="19" t="n"/>
    </row>
    <row r="32" ht="46" customHeight="1">
      <c r="A32" s="18" t="inlineStr">
        <is>
          <t>Medium (6–25, shared county IT)</t>
        </is>
      </c>
      <c r="B32" s="19" t="inlineStr">
        <is>
          <t>The security coordinator runs the assessments on a set cadence, reconciles them against the Training Completion Records at each review, and tracks the sponsored credentials and their renewal dates.</t>
        </is>
      </c>
      <c r="C32" s="19" t="n"/>
      <c r="D32" s="19" t="n"/>
    </row>
    <row r="33" ht="50.5" customHeight="1">
      <c r="A33" s="18" t="inlineStr">
        <is>
          <t>Large (25+, dedicated IT/security)</t>
        </is>
      </c>
      <c r="B33" s="19" t="inlineStr">
        <is>
          <t>Assessments are scheduled from the training calendar and results reported to leadership alongside completion rates. Where a learning or credential system of record exists, populate both sheets from it and treat these as the reviewed record.</t>
        </is>
      </c>
      <c r="C33" s="19" t="n"/>
      <c r="D33" s="19" t="n"/>
    </row>
    <row r="34"/>
    <row r="35"/>
    <row r="36"/>
    <row r="37"/>
    <row r="38"/>
    <row r="39"/>
    <row r="40"/>
    <row r="41"/>
    <row r="42"/>
    <row r="43"/>
    <row r="44"/>
    <row r="45"/>
    <row r="46"/>
    <row r="47"/>
    <row r="48"/>
    <row r="49"/>
    <row r="50"/>
    <row r="51"/>
    <row r="52"/>
    <row r="53"/>
    <row r="54"/>
    <row r="55"/>
    <row r="56"/>
    <row r="57"/>
    <row r="58"/>
    <row r="59"/>
    <row r="60"/>
    <row r="200"/>
  </sheetData>
  <mergeCells count="8">
    <mergeCell ref="B33:D33"/>
    <mergeCell ref="A1:D1"/>
    <mergeCell ref="B31:D31"/>
    <mergeCell ref="A3:D3"/>
    <mergeCell ref="B32:D32"/>
    <mergeCell ref="A29:D29"/>
    <mergeCell ref="A2:D2"/>
    <mergeCell ref="A28:D28"/>
  </mergeCells>
  <pageMargins left="0.75" right="0.75" top="1" bottom="1" header="0.511811023622047" footer="0.511811023622047"/>
  <pageSetup paperSize="1" orientation="landscape" fitToWidth="1" fitToHeight="0"/>
</worksheet>
</file>

<file path=docProps/app.xml><?xml version="1.0" encoding="utf-8"?>
<Properties xmlns="http://schemas.openxmlformats.org/officeDocument/2006/extended-properties">
  <Application>Microsoft Excel</Application>
</Properties>
</file>

<file path=docProps/core.xml><?xml version="1.0" encoding="utf-8"?>
<cp:coreProperties xmlns:cp="http://schemas.openxmlformats.org/package/2006/metadata/core-properties">
  <dc:creator xmlns:dc="http://purl.org/dc/elements/1.1/">911 Authority in partnership with IN911</dc:creator>
  <dc:language xmlns:dc="http://purl.org/dc/elements/1.1/">en-US</dc:language>
  <dcterms:created xmlns:dcterms="http://purl.org/dc/terms/" xmlns:xsi="http://www.w3.org/2001/XMLSchema-instance" xsi:type="dcterms:W3CDTF">2026-06-01T15:30:56Z</dcterms:created>
  <dcterms:modified xmlns:dcterms="http://purl.org/dc/terms/" xmlns:xsi="http://www.w3.org/2001/XMLSchema-instance" xsi:type="dcterms:W3CDTF">2026-08-05T15:30:43Z</dcterms:modified>
  <cp:lastModifiedBy/>
  <cp:revision>0</cp:revision>
  <dc:title xmlns:dc="http://purl.org/dc/elements/1.1/">Competency Assessment Records - FORM</dc:title>
</cp:coreProperties>
</file>
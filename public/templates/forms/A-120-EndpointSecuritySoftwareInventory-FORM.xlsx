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Endpoint Security Software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[Agency Name] under the authority of [signing official / title].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[Role title]   « use a role, not a person’s name »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[#]      Effective Date [Date]      Next Review [Date]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   « Minimum for Inventory / Register artifacts. Raise to Confidential when entries name individual people rather than role IDs. Append “ / CJIS” if CJIS-regulated data is in scope. »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[annually] by the [Owner role]; entries kept current on a set cadence.</t>
        </is>
      </c>
      <c r="D7" s="23" t="n"/>
      <c r="E7" s="23" t="n"/>
      <c r="F7" s="23" t="n"/>
      <c r="G7" s="22" t="n"/>
    </row>
    <row r="9" ht="15" customHeight="1">
      <c r="A9" s="5" t="inlineStr">
        <is>
          <t>Register Entries</t>
        </is>
      </c>
    </row>
    <row r="10" ht="27.75" customHeight="1">
      <c r="A10" s="9" t="inlineStr">
        <is>
          <t>« One row per in-scope system or endpoint group, keyed to the Master Asset Inventory. Group like devices rather than listing every workstation. »</t>
        </is>
      </c>
    </row>
    <row r="11" ht="30" customHeight="1">
      <c r="A11" s="11" t="inlineStr">
        <is>
          <t>ID</t>
        </is>
      </c>
      <c r="B11" s="11" t="inlineStr">
        <is>
          <t>System / Endpoint Group</t>
        </is>
      </c>
      <c r="C11" s="11" t="inlineStr">
        <is>
          <t>Criticality</t>
        </is>
      </c>
      <c r="D11" s="11" t="inlineStr">
        <is>
          <t>Anti-malware (product, version, update status)</t>
        </is>
      </c>
      <c r="E11" s="11" t="inlineStr">
        <is>
          <t>Host firewall (product, version, status)</t>
        </is>
      </c>
      <c r="F11" s="11" t="inlineStr">
        <is>
          <t>EDR (product, version, update status)</t>
        </is>
      </c>
      <c r="G11" s="11" t="inlineStr">
        <is>
          <t>Layered protection (Meets / Partial / None)</t>
        </is>
      </c>
      <c r="H11" s="24" t="inlineStr">
        <is>
          <t>Owner (Role)</t>
        </is>
      </c>
      <c r="I11" s="24" t="inlineStr">
        <is>
          <t>Last Reviewed</t>
        </is>
      </c>
      <c r="J11" s="24" t="inlineStr">
        <is>
          <t>Next Review Due</t>
        </is>
      </c>
    </row>
    <row r="12" ht="19.5" customHeight="1">
      <c r="A12" s="12" t="n"/>
      <c r="B12" s="12" t="n"/>
      <c r="C12" s="12" t="n"/>
      <c r="D12" s="12" t="n"/>
      <c r="E12" s="12" t="n"/>
      <c r="F12" s="12" t="n"/>
      <c r="G12" s="12" t="n"/>
      <c r="H12" s="21" t="n"/>
      <c r="I12" s="21" t="n"/>
      <c r="J12" s="21" t="n"/>
    </row>
    <row r="13" ht="19.5" customHeight="1">
      <c r="A13" s="12" t="n"/>
      <c r="B13" s="12" t="n"/>
      <c r="C13" s="12" t="n"/>
      <c r="D13" s="12" t="n"/>
      <c r="E13" s="12" t="n"/>
      <c r="F13" s="12" t="n"/>
      <c r="G13" s="12" t="n"/>
      <c r="H13" s="21" t="n"/>
      <c r="I13" s="21" t="n"/>
      <c r="J13" s="21" t="n"/>
    </row>
    <row r="14" ht="19.5" customHeight="1">
      <c r="A14" s="12" t="n"/>
      <c r="B14" s="12" t="n"/>
      <c r="C14" s="12" t="n"/>
      <c r="D14" s="12" t="n"/>
      <c r="E14" s="12" t="n"/>
      <c r="F14" s="12" t="n"/>
      <c r="G14" s="12" t="n"/>
      <c r="H14" s="21" t="n"/>
      <c r="I14" s="21" t="n"/>
      <c r="J14" s="21" t="n"/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  <c r="H15" s="21" t="n"/>
      <c r="I15" s="21" t="n"/>
      <c r="J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  <c r="I16" s="21" t="n"/>
      <c r="J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systems</t>
        </is>
      </c>
      <c r="B24" s="25" t="n"/>
      <c r="C24" s="13">
        <f>COUNTA(A12:A21)</f>
        <v/>
      </c>
    </row>
    <row r="25" ht="15" customHeight="1">
      <c r="A25" s="4" t="inlineStr">
        <is>
          <t>Critical systems</t>
        </is>
      </c>
      <c r="B25" s="25" t="n"/>
      <c r="C25" s="13">
        <f>COUNTIF(C12:C21,"Critical")</f>
        <v/>
      </c>
    </row>
    <row r="26" ht="15" customHeight="1">
      <c r="A26" s="4" t="inlineStr">
        <is>
          <t>Fully layered (Meets)</t>
        </is>
      </c>
      <c r="B26" s="25" t="n"/>
      <c r="C26" s="13">
        <f>COUNTIF(G12:G21,"Meets")</f>
        <v/>
      </c>
    </row>
    <row r="27" ht="15" customHeight="1">
      <c r="A27" s="4" t="inlineStr">
        <is>
          <t>Partial or no coverage</t>
        </is>
      </c>
      <c r="B27" s="25" t="n"/>
      <c r="C27" s="13">
        <f>COUNTIF(G12:G21,"Partial")+COUNTIF(G12:G21,"None")</f>
        <v/>
      </c>
    </row>
    <row r="28" ht="15" customHeight="1">
      <c r="A28" s="4" t="inlineStr">
        <is>
          <t>Critical systems with a coverage gap</t>
        </is>
      </c>
      <c r="B28" s="25" t="n"/>
      <c r="C28" s="13">
        <f>COUNTIFS(C12:C21,"Critical",G12:G21,"Partial")+COUNTIFS(C12:C21,"Critical",G12:G21,"None")</f>
        <v/>
      </c>
    </row>
    <row r="29" ht="15" customHeight="1">
      <c r="A29" s="4" t="inlineStr">
        <is>
          <t>Past due for review</t>
        </is>
      </c>
      <c r="B29" s="25" t="n"/>
      <c r="C29" s="13">
        <f>COUNTIF(J12:J21,"&lt;"&amp;TODAY())</f>
        <v/>
      </c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entries in this register. Group by authority; order numerically. No padding. »</t>
        </is>
      </c>
    </row>
    <row r="33" ht="15" customHeight="1">
      <c r="A33" s="3" t="inlineStr">
        <is>
          <t>NENA-STA-040.2-2024: §6.18, §6.19</t>
        </is>
      </c>
    </row>
    <row r="34" ht="15" customHeight="1">
      <c r="A34" s="3" t="inlineStr">
        <is>
          <t>NIST SP 800-53 Rev. 5: CM-8, SI-2, SI-3, SI-4</t>
        </is>
      </c>
    </row>
    <row r="35" ht="15" customHeight="1">
      <c r="A35" s="3" t="n"/>
    </row>
    <row r="36" ht="15" customHeight="1">
      <c r="A36" s="3" t="n"/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[Approving official / title]</t>
        </is>
      </c>
      <c r="B40" s="15" t="n"/>
      <c r="C40" s="15" t="n"/>
      <c r="D40" s="15" t="n"/>
    </row>
    <row r="41" ht="34" customHeight="1">
      <c r="A41" s="12" t="inlineStr">
        <is>
          <t>[Owner role]</t>
        </is>
      </c>
      <c r="B41" s="15" t="n"/>
      <c r="C41" s="15" t="n"/>
      <c r="D41" s="15" t="n"/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[#]</t>
        </is>
      </c>
      <c r="B45" s="12" t="inlineStr">
        <is>
          <t>[Date]</t>
        </is>
      </c>
      <c r="C45" s="12" t="inlineStr">
        <is>
          <t>[Role]</t>
        </is>
      </c>
      <c r="D45" s="12" t="inlineStr">
        <is>
          <t>[Initial issue]</t>
        </is>
      </c>
      <c r="E45" s="12" t="n"/>
      <c r="F45" s="12" t="n"/>
      <c r="G45" s="12" t="n"/>
    </row>
    <row r="47" ht="30" customHeight="1">
      <c r="A47" s="2" t="inlineStr">
        <is>
          <t>Drafter’s note (internal, delete before publishing): the Agency fills [Agency Name], version, dates, and the Owner role, and lists each in-scope system or endpoint group keyed to the Master Asset Inventory. Layered protection records whether a system meets the protection layers required for its class; the authoritative requirement lives in the Endpoint Hardening Checklist and System Configuration Baselines, not here.</t>
        </is>
      </c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2" customWidth="1" min="1" max="1"/>
    <col width="46" customWidth="1" min="2" max="2"/>
    <col width="14" customWidth="1" min="3" max="3"/>
    <col width="34" customWidth="1" min="4" max="4"/>
  </cols>
  <sheetData>
    <row r="1" ht="25.5" customHeight="1">
      <c r="A1" s="10" t="inlineStr">
        <is>
          <t>Column Instructions &amp; How to Use</t>
        </is>
      </c>
    </row>
    <row r="2" ht="43.5" customHeight="1">
      <c r="A2" s="1" t="inlineStr">
        <is>
          <t>How to use this template: fill the header block on the Register tab, replace every [BRACKETED] field, list one row per in-scope system or endpoint group, then delete every « » note before publishing.</t>
        </is>
      </c>
    </row>
    <row r="3" ht="29.75" customHeight="1">
      <c r="A3" s="1" t="inlineStr">
        <is>
          <t>Placeholder key:  [BRACKETED] = fill in   ·   « » = guidance to delete.  Classification, Source Authority, signatures and revision history live on the Register tab.</t>
        </is>
      </c>
    </row>
    <row r="5" ht="16" customHeight="1">
      <c r="A5" s="16" t="inlineStr">
        <is>
          <t>The columns in this register</t>
        </is>
      </c>
    </row>
    <row r="6" ht="24" customHeight="1">
      <c r="A6" s="11" t="inlineStr">
        <is>
          <t>Column</t>
        </is>
      </c>
      <c r="B6" s="11" t="inlineStr">
        <is>
          <t>What it holds</t>
        </is>
      </c>
      <c r="C6" s="11" t="inlineStr">
        <is>
          <t>Required?</t>
        </is>
      </c>
      <c r="D6" s="11" t="inlineStr">
        <is>
          <t>Example value</t>
        </is>
      </c>
    </row>
    <row r="7" ht="30" customHeight="1">
      <c r="A7" s="17" t="inlineStr">
        <is>
          <t>ID</t>
        </is>
      </c>
      <c r="B7" s="12" t="inlineStr">
        <is>
          <t>Stable, unique identifier for the row. Does not change once assigned.</t>
        </is>
      </c>
      <c r="C7" s="12" t="inlineStr">
        <is>
          <t>Required</t>
        </is>
      </c>
      <c r="D7" s="12" t="inlineStr">
        <is>
          <t>ESS-014</t>
        </is>
      </c>
    </row>
    <row r="8" ht="30" customHeight="1">
      <c r="A8" s="17" t="inlineStr">
        <is>
          <t>System / Endpoint Group</t>
        </is>
      </c>
      <c r="B8" s="12" t="inlineStr">
        <is>
          <t>The system or endpoint group this row covers. Key it to the Master Asset Inventory; group like devices rather than listing every workstation.</t>
        </is>
      </c>
      <c r="C8" s="12" t="inlineStr">
        <is>
          <t>Required</t>
        </is>
      </c>
      <c r="D8" s="12" t="inlineStr">
        <is>
          <t>Dispatch workstations (x12)</t>
        </is>
      </c>
    </row>
    <row r="9" ht="30" customHeight="1">
      <c r="A9" s="17" t="inlineStr">
        <is>
          <t>Criticality</t>
        </is>
      </c>
      <c r="B9" s="12" t="inlineStr">
        <is>
          <t>Criticality of the system, taken from the Asset Criticality Ranking Matrix.</t>
        </is>
      </c>
      <c r="C9" s="12" t="inlineStr">
        <is>
          <t>Required</t>
        </is>
      </c>
      <c r="D9" s="12" t="inlineStr">
        <is>
          <t>Critical</t>
        </is>
      </c>
    </row>
    <row r="10" ht="30" customHeight="1">
      <c r="A10" s="17" t="inlineStr">
        <is>
          <t>Anti-malware (product, version, update status)</t>
        </is>
      </c>
      <c r="B10" s="12" t="inlineStr">
        <is>
          <t>Anti-malware or AV product on the system, with version and how current its definitions are.</t>
        </is>
      </c>
      <c r="C10" s="12" t="inlineStr">
        <is>
          <t>Required</t>
        </is>
      </c>
      <c r="D10" s="12" t="inlineStr">
        <is>
          <t>VendorX AV 12.4, defs current</t>
        </is>
      </c>
    </row>
    <row r="11" ht="30" customHeight="1">
      <c r="A11" s="17" t="inlineStr">
        <is>
          <t>Host firewall (product, version, status)</t>
        </is>
      </c>
      <c r="B11" s="12" t="inlineStr">
        <is>
          <t>Host firewall in use, and whether it is enabled and set to the baseline.</t>
        </is>
      </c>
      <c r="C11" s="12" t="inlineStr">
        <is>
          <t>Required</t>
        </is>
      </c>
      <c r="D11" s="12" t="inlineStr">
        <is>
          <t>OS firewall, enabled, baseline</t>
        </is>
      </c>
    </row>
    <row r="12" ht="30" customHeight="1">
      <c r="A12" s="17" t="inlineStr">
        <is>
          <t>EDR (product, version, update status)</t>
        </is>
      </c>
      <c r="B12" s="12" t="inlineStr">
        <is>
          <t>Endpoint detection and response agent, with version and agent or update status. Mark NA where EDR is not required for the class.</t>
        </is>
      </c>
      <c r="C12" s="12" t="inlineStr">
        <is>
          <t>Conditional</t>
        </is>
      </c>
      <c r="D12" s="12" t="inlineStr">
        <is>
          <t>VendorY EDR 5.1, agent current</t>
        </is>
      </c>
    </row>
    <row r="13" ht="30" customHeight="1">
      <c r="A13" s="17" t="inlineStr">
        <is>
          <t>Layered protection (Meets / Partial / None)</t>
        </is>
      </c>
      <c r="B13" s="12" t="inlineStr">
        <is>
          <t>Whether the system meets the protection layers required for its class. Meets, Partial, or None.</t>
        </is>
      </c>
      <c r="C13" s="12" t="inlineStr">
        <is>
          <t>Required</t>
        </is>
      </c>
      <c r="D13" s="12" t="inlineStr">
        <is>
          <t>Meets</t>
        </is>
      </c>
    </row>
    <row r="14">
      <c r="A14" s="17" t="inlineStr">
        <is>
          <t>Owner (Role)</t>
        </is>
      </c>
      <c r="B14" s="12" t="inlineStr">
        <is>
          <t>Role accountable for this system’s endpoint protection. A role, not a person’s name.</t>
        </is>
      </c>
      <c r="C14" s="12" t="inlineStr">
        <is>
          <t>Required</t>
        </is>
      </c>
      <c r="D14" s="12" t="inlineStr">
        <is>
          <t>IT Support Lead</t>
        </is>
      </c>
    </row>
    <row r="15" ht="29.75" customHeight="1">
      <c r="A15" s="17" t="inlineStr">
        <is>
          <t>Last Reviewed</t>
        </is>
      </c>
      <c r="B15" s="12" t="inlineStr">
        <is>
          <t>Date the row was last verified as accurate.</t>
        </is>
      </c>
      <c r="C15" s="12" t="inlineStr">
        <is>
          <t>Required</t>
        </is>
      </c>
      <c r="D15" s="12" t="inlineStr">
        <is>
          <t>2026-03-01</t>
        </is>
      </c>
    </row>
    <row r="16">
      <c r="A16" s="17" t="inlineStr">
        <is>
          <t>Next Review Due</t>
        </is>
      </c>
      <c r="B16" s="12" t="inlineStr">
        <is>
          <t>Date the row must next be reviewed. Drives the past-due count in Summary.</t>
        </is>
      </c>
      <c r="C16" s="12" t="inlineStr">
        <is>
          <t>Required</t>
        </is>
      </c>
      <c r="D16" s="12" t="inlineStr">
        <is>
          <t>2026-09-01</t>
        </is>
      </c>
    </row>
    <row r="17" ht="20" customHeight="1">
      <c r="A17" s="18" t="n"/>
    </row>
    <row r="18" ht="30" customHeight="1">
      <c r="A18" s="19" t="inlineStr">
        <is>
          <t>Required layers by class: critical systems require anti-malware plus EDR plus host firewall; standard endpoints require anti-malware. The authoritative requirement lives in the Endpoint Hardening Checklist and System Configuration Baselines; Layered protection records whether the system meets that bar.</t>
        </is>
      </c>
    </row>
    <row r="19">
      <c r="A19" s="18" t="n"/>
      <c r="B19" s="18" t="n"/>
    </row>
    <row r="20" ht="42" customHeight="1">
      <c r="A20" s="18" t="inlineStr">
        <is>
          <t>Profile Scaling Notes</t>
        </is>
      </c>
      <c r="B20" s="21" t="n"/>
    </row>
    <row r="21" ht="42" customHeight="1">
      <c r="A21" s="19" t="inlineStr">
        <is>
          <t>What minimum-viable upkeep looks like at each PSAP size. Keep all three rows while this ships as a template; once adopted, keep the one that fits.</t>
        </is>
      </c>
      <c r="B21" s="21" t="n"/>
    </row>
    <row r="22" ht="42" customHeight="1">
      <c r="A22" s="18" t="inlineStr">
        <is>
          <t>PSAP Profile</t>
        </is>
      </c>
      <c r="B22" s="18" t="inlineStr">
        <is>
          <t>Minimum-viable implementation</t>
        </is>
      </c>
    </row>
    <row r="23">
      <c r="A23" s="20" t="inlineStr">
        <is>
          <t>Small (1–5, no in-house IT)</t>
        </is>
      </c>
      <c r="B23" s="21" t="inlineStr">
        <is>
          <t>Maintain by hand. The director or county IT lists each system with its anti-malware, firewall, and EDR and updates it on the review cycle.</t>
        </is>
      </c>
    </row>
    <row r="24">
      <c r="A24" s="20" t="inlineStr">
        <is>
          <t>Medium (6–25, shared county IT)</t>
        </is>
      </c>
      <c r="B24" s="21" t="inlineStr">
        <is>
          <t>A named coordinator owns it and reconciles it against the endpoint management console on a set cadence.</t>
        </is>
      </c>
    </row>
    <row r="25">
      <c r="A25" s="20" t="inlineStr">
        <is>
          <t>Large (25+, dedicated IT/security)</t>
        </is>
      </c>
      <c r="B25" s="21" t="inlineStr">
        <is>
          <t>Populate from the endpoint management or EDR console on a schedule and treat this sheet as the reviewed record.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2026-06-23T21:51:47Z</dcterms:modified>
  <cp:lastModifiedBy>Jason Jeffares</cp:lastModifiedBy>
  <cp:revision>0</cp:revision>
</cp:coreProperties>
</file>
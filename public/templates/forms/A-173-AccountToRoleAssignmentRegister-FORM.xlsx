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3" customWidth="1" min="1" max="1"/>
    <col width="26" customWidth="1" min="2" max="2"/>
    <col width="40" customWidth="1" min="3" max="3"/>
    <col width="20" customWidth="1" min="4" max="4"/>
    <col width="16" customWidth="1" min="5" max="5"/>
    <col width="14" customWidth="1" min="6" max="7"/>
  </cols>
  <sheetData>
    <row r="1" ht="25.5" customHeight="1">
      <c r="A1" s="10" t="inlineStr">
        <is>
          <t>Account-to-Role Assignment Register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18" t="n"/>
      <c r="C3" s="7" t="inlineStr">
        <is>
          <t>Adopted by [Agency Name] under the authority of [signing official / title].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[Role title]   « use a role, not a person’s name »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[#]      Effective Date [Date]      Next Review [Date]</t>
        </is>
      </c>
      <c r="D5" s="19" t="n"/>
      <c r="E5" s="19" t="n"/>
      <c r="F5" s="19" t="n"/>
      <c r="G5" s="18" t="n"/>
    </row>
    <row r="6" ht="43.5" customHeight="1">
      <c r="A6" s="8" t="inlineStr">
        <is>
          <t>Classification</t>
        </is>
      </c>
      <c r="B6" s="18" t="n"/>
      <c r="C6" s="6" t="inlineStr">
        <is>
          <t>Confidential / CJIS   « Minimum for this register: it names individuals and the access their role grants, and covers CJIS-regulated systems via IDACS. Your agency may raise but not lower. »</t>
        </is>
      </c>
      <c r="D6" s="19" t="n"/>
      <c r="E6" s="19" t="n"/>
      <c r="F6" s="19" t="n"/>
      <c r="G6" s="18" t="n"/>
    </row>
    <row r="7" ht="34.7" customHeight="1">
      <c r="A7" s="8" t="inlineStr">
        <is>
          <t>Review cadence</t>
        </is>
      </c>
      <c r="B7" s="18" t="n"/>
      <c r="C7" s="7" t="inlineStr">
        <is>
          <t>Reconciled against live accounts at each periodic account review. Large agencies populate from an IAM / directory export; small agencies maintain it by hand.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34.7" customHeight="1">
      <c r="A10" s="9" t="inlineStr">
        <is>
          <t>« Add one row per item. These columns are the standard minimum every register inherits; add columns this specific register needs (e.g., make/model, version, location for an asset inventory). »</t>
        </is>
      </c>
    </row>
    <row r="11" ht="34.7" customHeight="1">
      <c r="A11" s="11" t="inlineStr">
        <is>
          <t>Username / ID</t>
        </is>
      </c>
      <c r="B11" s="11" t="inlineStr">
        <is>
          <t>Name</t>
        </is>
      </c>
      <c r="C11" s="11" t="inlineStr">
        <is>
          <t>Assigned role(s) &amp; resulting system access</t>
        </is>
      </c>
      <c r="D11" s="11" t="inlineStr">
        <is>
          <t>Supervisor / approver (role)</t>
        </is>
      </c>
      <c r="E11" s="11" t="inlineStr">
        <is>
          <t>Status</t>
        </is>
      </c>
      <c r="F11" s="11" t="inlineStr">
        <is>
          <t>Last reconciled</t>
        </is>
      </c>
      <c r="G11" s="11" t="inlineStr">
        <is>
          <t>Next review due</t>
        </is>
      </c>
    </row>
    <row r="12" ht="19.5" customHeight="1">
      <c r="A12" s="12" t="n"/>
      <c r="B12" s="12" t="n"/>
      <c r="C12" s="12" t="n"/>
      <c r="D12" s="12" t="n"/>
      <c r="E12" s="12" t="n"/>
      <c r="F12" s="12" t="n"/>
      <c r="G12" s="12" t="n"/>
    </row>
    <row r="13" ht="19.5" customHeight="1">
      <c r="A13" s="12" t="n"/>
      <c r="B13" s="12" t="n"/>
      <c r="C13" s="12" t="n"/>
      <c r="D13" s="12" t="n"/>
      <c r="E13" s="12" t="n"/>
      <c r="F13" s="12" t="n"/>
      <c r="G13" s="12" t="n"/>
    </row>
    <row r="14" ht="19.5" customHeight="1">
      <c r="A14" s="12" t="n"/>
      <c r="B14" s="12" t="n"/>
      <c r="C14" s="12" t="n"/>
      <c r="D14" s="12" t="n"/>
      <c r="E14" s="12" t="n"/>
      <c r="F14" s="12" t="n"/>
      <c r="G14" s="12" t="n"/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</t>
        </is>
      </c>
    </row>
    <row r="24" ht="15" customHeight="1">
      <c r="A24" s="4" t="inlineStr">
        <is>
          <t>Total entries</t>
        </is>
      </c>
      <c r="B24" s="20" t="n"/>
      <c r="C24" s="13">
        <f>COUNTA(A12:A21)</f>
      </c>
    </row>
    <row r="25" ht="15" customHeight="1">
      <c r="A25" s="4" t="inlineStr">
        <is>
          <t>Active</t>
        </is>
      </c>
      <c r="B25" s="20" t="n"/>
      <c r="C25" s="13">
        <f>COUNTIF(E12:E21,"Active")</f>
      </c>
    </row>
    <row r="26" ht="15" customHeight="1">
      <c r="A26" s="4" t="inlineStr">
        <is>
          <t>Suspended</t>
        </is>
      </c>
      <c r="B26" s="20" t="n"/>
      <c r="C26" s="13">
        <f>COUNTIF(E12:E21,"Suspended")</f>
      </c>
    </row>
    <row r="27" ht="15" customHeight="1">
      <c r="A27" s="4" t="inlineStr">
        <is>
          <t>Departed</t>
        </is>
      </c>
      <c r="B27" s="20" t="n"/>
      <c r="C27" s="13">
        <f>COUNTIF(E12:E21,"Departed")</f>
      </c>
    </row>
    <row r="28" ht="15" customHeight="1">
      <c r="A28" s="4" t="n"/>
      <c r="B28" s="20" t="n"/>
      <c r="C28" s="13" t="n"/>
    </row>
    <row r="29" ht="15" customHeight="1">
      <c r="A29" s="4" t="inlineStr">
        <is>
          <t>Past due for review</t>
        </is>
      </c>
      <c r="B29" s="20" t="n"/>
      <c r="C29" s="13">
        <f>COUNTIF(G12:G21,"&lt;"&amp;TODAY())</f>
      </c>
    </row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entries in this register. Group by authority; order numerically. No padding. »</t>
        </is>
      </c>
    </row>
    <row r="33" ht="15" customHeight="1">
      <c r="A33" s="3" t="inlineStr">
        <is>
          <t>NENA-STA-040.2-2024: §6.2, §6.2.1</t>
        </is>
      </c>
    </row>
    <row r="34" ht="15" customHeight="1">
      <c r="A34" s="3" t="inlineStr">
        <is>
          <t>NIST SP 800-53 Rev. 5: AC-2, AC-3, AC-6</t>
        </is>
      </c>
    </row>
    <row r="35" ht="15" customHeight="1">
      <c r="A35" s="3" t="inlineStr">
        <is>
          <t>Indiana statutes and administrative code: 240 IAC 5 (IDACS access)</t>
        </is>
      </c>
    </row>
    <row r="36" ht="15" customHeight="1">
      <c r="A36" s="3" t="inlineStr">
        <is>
          <t>CJIS Security Policy v5.9: §5.5 (Access Control; CJIS-regulated access via IDACS)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46" customHeight="1">
      <c r="A40" s="12" t="inlineStr">
        <is>
          <t>[Approving official (role)]</t>
        </is>
      </c>
      <c r="B40" s="15" t="n"/>
      <c r="C40" s="15" t="n"/>
      <c r="D40" s="15" t="n"/>
    </row>
    <row r="41" ht="46" customHeight="1">
      <c r="A41" s="12" t="inlineStr">
        <is>
          <t>[Owner (role)]</t>
        </is>
      </c>
      <c r="B41" s="15" t="n"/>
      <c r="C41" s="15" t="n"/>
      <c r="D41" s="15" t="n"/>
    </row>
    <row r="43" ht="15" customHeight="1">
      <c r="A43" s="5" t="inlineStr">
        <is>
          <t>Revision History</t>
        </is>
      </c>
    </row>
    <row r="44" ht="30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[#]</t>
        </is>
      </c>
      <c r="B45" s="12" t="inlineStr">
        <is>
          <t>[Date]</t>
        </is>
      </c>
      <c r="C45" s="12" t="inlineStr">
        <is>
          <t>[Role]</t>
        </is>
      </c>
      <c r="D45" s="12" t="inlineStr">
        <is>
          <t>[Initial issue]</t>
        </is>
      </c>
      <c r="E45" s="12" t="n"/>
      <c r="F45" s="12" t="n"/>
      <c r="G45" s="12" t="n"/>
    </row>
    <row r="47" ht="58" customHeight="1">
      <c r="A47" s="2" t="inlineStr">
        <is>
          <t>Drafter's note (internal, delete before publishing): This is the person-&gt;role half of the entitlement chain; resulting access resolves through the Access Entitlement Matrix (role-&gt;system-&gt;privilege). Profile-scaled: large = IAM/directory export refreshed each review; small = maintained by hand. Names individuals, hence Confidential.</t>
        </is>
      </c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2" customWidth="1" min="1" max="1"/>
    <col width="46" customWidth="1" min="2" max="2"/>
    <col width="14" customWidth="1" min="3" max="3"/>
    <col width="34" customWidth="1" min="4" max="4"/>
  </cols>
  <sheetData>
    <row r="1" ht="25.5" customHeight="1">
      <c r="A1" s="10" t="inlineStr">
        <is>
          <t>Column Instructions &amp; How to Use</t>
        </is>
      </c>
    </row>
    <row r="2" ht="43.5" customHeight="1">
      <c r="A2" s="1" t="inlineStr">
        <is>
          <t>How to use this shell: this is the reusable Inventory / Register shell. Fill the header block on the Register tab, replace every [BRACKETED] field, add and rename columns this specific register needs, then delete every « » note before publishing.</t>
        </is>
      </c>
    </row>
    <row r="3" ht="34.7" customHeight="1">
      <c r="A3" s="9" t="inlineStr">
        <is>
          <t>Placeholder key:  [BRACKETED] = fill in   ·   « » = guidance to delete.  Classification, Source Authority, signatures and revision history live on the Register tab.</t>
        </is>
      </c>
    </row>
    <row r="5" ht="16" customHeight="1">
      <c r="A5" s="16" t="inlineStr">
        <is>
          <t>The standard columns every register inherits</t>
        </is>
      </c>
    </row>
    <row r="6" ht="24" customHeight="1">
      <c r="A6" s="11" t="inlineStr">
        <is>
          <t>Column</t>
        </is>
      </c>
      <c r="B6" s="11" t="inlineStr">
        <is>
          <t>What it holds</t>
        </is>
      </c>
      <c r="C6" s="11" t="inlineStr">
        <is>
          <t>Required?</t>
        </is>
      </c>
      <c r="D6" s="11" t="inlineStr">
        <is>
          <t>Example value</t>
        </is>
      </c>
    </row>
    <row r="7" ht="30" customHeight="1">
      <c r="A7" s="17" t="inlineStr">
        <is>
          <t>Username / ID</t>
        </is>
      </c>
      <c r="B7" s="12" t="inlineStr">
        <is>
          <t>Account identifier for the individual.</t>
        </is>
      </c>
      <c r="C7" s="12" t="inlineStr">
        <is>
          <t>Required</t>
        </is>
      </c>
      <c r="D7" s="12" t="inlineStr">
        <is>
          <t>tholloway</t>
        </is>
      </c>
    </row>
    <row r="8" ht="30" customHeight="1">
      <c r="A8" s="17" t="inlineStr">
        <is>
          <t>Name</t>
        </is>
      </c>
      <c r="B8" s="12" t="inlineStr">
        <is>
          <t>Full name of the account holder.</t>
        </is>
      </c>
      <c r="C8" s="12" t="inlineStr">
        <is>
          <t>Required</t>
        </is>
      </c>
      <c r="D8" s="12" t="inlineStr">
        <is>
          <t>Tracy Holloway</t>
        </is>
      </c>
    </row>
    <row r="9" ht="50.5" customHeight="1">
      <c r="A9" s="17" t="inlineStr">
        <is>
          <t>Assigned role(s) &amp; resulting system access</t>
        </is>
      </c>
      <c r="B9" s="12" t="inlineStr">
        <is>
          <t>Job role(s) held and the access they grant. Access detail resolves through the Access Entitlement Matrix.</t>
        </is>
      </c>
      <c r="C9" s="12" t="inlineStr">
        <is>
          <t>Required</t>
        </is>
      </c>
      <c r="D9" s="12" t="inlineStr">
        <is>
          <t>Director: full CAD, admin GIS</t>
        </is>
      </c>
    </row>
    <row r="10" ht="34.7" customHeight="1">
      <c r="A10" s="17" t="inlineStr">
        <is>
          <t>Supervisor / approver (role)</t>
        </is>
      </c>
      <c r="B10" s="12" t="inlineStr">
        <is>
          <t>Role that approves and owns this assignment.</t>
        </is>
      </c>
      <c r="C10" s="12" t="inlineStr">
        <is>
          <t>Required</t>
        </is>
      </c>
      <c r="D10" s="12" t="inlineStr">
        <is>
          <t>County IT Lead</t>
        </is>
      </c>
    </row>
    <row r="11" ht="30" customHeight="1">
      <c r="A11" s="17" t="inlineStr">
        <is>
          <t>Status</t>
        </is>
      </c>
      <c r="B11" s="12" t="inlineStr">
        <is>
          <t>Active / Suspended / Departed.</t>
        </is>
      </c>
      <c r="C11" s="12" t="inlineStr">
        <is>
          <t>Required</t>
        </is>
      </c>
      <c r="D11" s="12" t="inlineStr">
        <is>
          <t>Active</t>
        </is>
      </c>
    </row>
    <row r="12" ht="34.7" customHeight="1">
      <c r="A12" s="17" t="inlineStr">
        <is>
          <t>Last reconciled / Next review due</t>
        </is>
      </c>
      <c r="B12" s="12" t="inlineStr">
        <is>
          <t>Date last reconciled against live accounts, and next review date.</t>
        </is>
      </c>
      <c r="C12" s="12" t="inlineStr">
        <is>
          <t>Required</t>
        </is>
      </c>
      <c r="D12" s="12" t="inlineStr">
        <is>
          <t>2026-03-01 / 2026-06-01</t>
        </is>
      </c>
    </row>
    <row r="13" ht="34.7" customHeight="1">
      <c r="A13" s="17" t="inlineStr">
        <is>
          <t>Next Review Due</t>
        </is>
      </c>
      <c r="B13" s="12" t="inlineStr">
        <is>
          <t>Date the entry must next be reviewed. Drives the ‘past due’ count in Summary.</t>
        </is>
      </c>
      <c r="C13" s="12" t="inlineStr">
        <is>
          <t>Required</t>
        </is>
      </c>
      <c r="D13" s="25">
        <v>46266</v>
      </c>
    </row>
    <row r="15" ht="34.7" customHeight="1">
      <c r="A15" s="9" t="inlineStr">
        <is>
          <t>« Summary on the Register tab counts entries by status and flags any past their Next Review Due date. Extend the COUNTIF formulas if you add status values. »</t>
        </is>
      </c>
    </row>
    <row r="17" ht="20" customHeight="1">
      <c r="A17" s="21" t="inlineStr">
        <is>
          <t xml:space="preserve">Profile Scaling Notes</t>
        </is>
      </c>
    </row>
    <row r="18" ht="30" customHeight="1">
      <c r="A18" s="22" t="inlineStr">
        <is>
          <t xml:space="preserve">What minimum-viable upkeep looks like at each PSAP size. Keep all three rows while this ships as a template; once adopted, keep the one that fits.</t>
        </is>
      </c>
    </row>
    <row r="19">
      <c r="A19" s="21" t="inlineStr">
        <is>
          <t xml:space="preserve">PSAP Profile</t>
        </is>
      </c>
      <c r="B19" s="21" t="inlineStr">
        <is>
          <t xml:space="preserve">Minimum-viable implementation</t>
        </is>
      </c>
    </row>
    <row r="20" ht="42" customHeight="1">
      <c r="A20" s="23" t="inlineStr">
        <is>
          <t xml:space="preserve">Small (1–5, no in-house IT)</t>
        </is>
      </c>
      <c r="B20" s="24" t="inlineStr">
        <is>
          <t xml:space="preserve">Maintain this by hand. One person, usually the director, keeps it current on the review cycle in the header block.</t>
        </is>
      </c>
    </row>
    <row r="21" ht="42" customHeight="1">
      <c r="A21" s="23" t="inlineStr">
        <is>
          <t xml:space="preserve">Medium (6–25, shared county IT)</t>
        </is>
      </c>
      <c r="B21" s="24" t="inlineStr">
        <is>
          <t xml:space="preserve">A named coordinator owns it, updates it on a set cadence, and reconciles it at each periodic review.</t>
        </is>
      </c>
    </row>
    <row r="22" ht="42" customHeight="1">
      <c r="A22" s="23" t="inlineStr">
        <is>
          <t xml:space="preserve">Large (25+, dedicated IT/security)</t>
        </is>
      </c>
      <c r="B22" s="24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10">
    <mergeCell ref="A1:D1"/>
    <mergeCell ref="A3:D3"/>
    <mergeCell ref="A2:D2"/>
    <mergeCell ref="A15:D15"/>
    <mergeCell ref="A17:D17"/>
    <mergeCell ref="A18:D18"/>
    <mergeCell ref="B19:D19"/>
    <mergeCell ref="B20:D20"/>
    <mergeCell ref="B21:D21"/>
    <mergeCell ref="B22:D22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2026-06-18T18:30:29Z</dcterms:modified>
  <cp:lastModifiedBy/>
  <cp:revision>0</cp:revision>
  <dc:title xmlns:dc="http://purl.org/dc/elements/1.1/">Account-to-Role Assignment Register - FORM</dc:title>
</cp:coreProperties>
</file>
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Key Inventory &amp; Custody Records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[Agency Name] under the authority of [signing official / title].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[Role title]   « use a role, not a person’s name »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[#]      Effective Date [Date]      Next Review [Date]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Confidential   « Minimum for this artifact; it names key custodians. Your agency may raise this floor but not lower it. »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[quarterly] by the [Owner role].</t>
        </is>
      </c>
      <c r="D7" s="23" t="n"/>
      <c r="E7" s="23" t="n"/>
      <c r="F7" s="23" t="n"/>
      <c r="G7" s="22" t="n"/>
    </row>
    <row r="9" ht="15" customHeight="1">
      <c r="A9" s="5" t="inlineStr">
        <is>
          <t>Register Entries</t>
        </is>
      </c>
    </row>
    <row r="10" ht="27.75" customHeight="1">
      <c r="A10" s="9" t="inlineStr">
        <is>
          <t>« One row per key or key-class. Use role titles in the blank form; a populated register names the individual who holds each key. »</t>
        </is>
      </c>
    </row>
    <row r="11" ht="30" customHeight="1">
      <c r="A11" s="11" t="inlineStr">
        <is>
          <t>Key / Key-Class ID</t>
        </is>
      </c>
      <c r="B11" s="11" t="inlineStr">
        <is>
          <t>Key Type &amp; Purpose</t>
        </is>
      </c>
      <c r="C11" s="11" t="inlineStr">
        <is>
          <t>Systems Protected</t>
        </is>
      </c>
      <c r="D11" s="11" t="inlineStr">
        <is>
          <t>Custodian (Role)</t>
        </is>
      </c>
      <c r="E11" s="11" t="inlineStr">
        <is>
          <t>Backup Custodian (Role)</t>
        </is>
      </c>
      <c r="F11" s="11" t="inlineStr">
        <is>
          <t>Special-Use Flag</t>
        </is>
      </c>
      <c r="G11" s="11" t="inlineStr">
        <is>
          <t>Status</t>
        </is>
      </c>
      <c r="H11" s="24" t="inlineStr">
        <is>
          <t>Last Reviewed</t>
        </is>
      </c>
      <c r="I11" s="24" t="inlineStr">
        <is>
          <t>Next Review Due</t>
        </is>
      </c>
      <c r="J11" s="24" t="inlineStr">
        <is>
          <t>Notes / Escrow Reference</t>
        </is>
      </c>
    </row>
    <row r="12" ht="19.5" customHeight="1">
      <c r="A12" s="12" t="n"/>
      <c r="B12" s="12" t="n"/>
      <c r="C12" s="12" t="n"/>
      <c r="D12" s="12" t="n"/>
      <c r="E12" s="12" t="n"/>
      <c r="F12" s="12" t="n"/>
      <c r="G12" s="12" t="n"/>
      <c r="H12" s="21" t="n"/>
      <c r="I12" s="21" t="n"/>
      <c r="J12" s="21" t="n"/>
    </row>
    <row r="13" ht="19.5" customHeight="1">
      <c r="A13" s="12" t="n"/>
      <c r="B13" s="12" t="n"/>
      <c r="C13" s="12" t="n"/>
      <c r="D13" s="12" t="n"/>
      <c r="E13" s="12" t="n"/>
      <c r="F13" s="12" t="n"/>
      <c r="G13" s="12" t="n"/>
      <c r="H13" s="21" t="n"/>
      <c r="I13" s="21" t="n"/>
      <c r="J13" s="21" t="n"/>
    </row>
    <row r="14" ht="19.5" customHeight="1">
      <c r="A14" s="12" t="n"/>
      <c r="B14" s="12" t="n"/>
      <c r="C14" s="12" t="n"/>
      <c r="D14" s="12" t="n"/>
      <c r="E14" s="12" t="n"/>
      <c r="F14" s="12" t="n"/>
      <c r="G14" s="12" t="n"/>
      <c r="H14" s="21" t="n"/>
      <c r="I14" s="21" t="n"/>
      <c r="J14" s="21" t="n"/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  <c r="H15" s="21" t="n"/>
      <c r="I15" s="21" t="n"/>
      <c r="J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  <c r="I16" s="21" t="n"/>
      <c r="J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keys / key-classes</t>
        </is>
      </c>
      <c r="B24" s="25" t="n"/>
      <c r="C24" s="13">
        <f>COUNTA(A12:A22)</f>
        <v/>
      </c>
    </row>
    <row r="25" ht="15" customHeight="1">
      <c r="A25" s="4" t="inlineStr">
        <is>
          <t>Active</t>
        </is>
      </c>
      <c r="B25" s="25" t="n"/>
      <c r="C25" s="13">
        <f>COUNTIF(G12:G22,"Active")</f>
        <v/>
      </c>
    </row>
    <row r="26" ht="15" customHeight="1">
      <c r="A26" s="4" t="inlineStr">
        <is>
          <t>Without a backup custodian</t>
        </is>
      </c>
      <c r="B26" s="25" t="n"/>
      <c r="C26" s="13">
        <f>COUNTIFS(A12:A22,"&lt;&gt;",E12:E22,"")</f>
        <v/>
      </c>
    </row>
    <row r="27" ht="15" customHeight="1">
      <c r="A27" s="4" t="inlineStr">
        <is>
          <t>Special-use keys</t>
        </is>
      </c>
      <c r="B27" s="25" t="n"/>
      <c r="C27" s="13">
        <f>COUNTIFS(A12:A22,"&lt;&gt;",F12:F22,"&lt;&gt;")</f>
        <v/>
      </c>
    </row>
    <row r="28" ht="15" customHeight="1">
      <c r="A28" s="4" t="inlineStr">
        <is>
          <t>Retired / superseded</t>
        </is>
      </c>
      <c r="B28" s="25" t="n"/>
      <c r="C28" s="13">
        <f>COUNTIF(G12:G22,"Retired")+COUNTIF(G12:G22,"Superseded")</f>
        <v/>
      </c>
    </row>
    <row r="29" ht="15" customHeight="1">
      <c r="A29" s="4" t="inlineStr">
        <is>
          <t>Past due for review</t>
        </is>
      </c>
      <c r="B29" s="25" t="n"/>
      <c r="C29" s="13">
        <f>SUMPRODUCT((A12:A22&lt;&gt;"")*(I12:I22&lt;&gt;"")*(I12:I22&lt;TODAY()))</f>
        <v/>
      </c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entries in this register. Group by authority; order numerically. No padding. »</t>
        </is>
      </c>
    </row>
    <row r="33" ht="15" customHeight="1">
      <c r="A33" s="3" t="inlineStr">
        <is>
          <t>NENA-STA-040.2-2024: §6.23.2, §6.23.3, §6.23.7</t>
        </is>
      </c>
    </row>
    <row r="34" ht="15" customHeight="1">
      <c r="A34" s="3" t="inlineStr">
        <is>
          <t>NIST SP 800-53 Rev. 5: IA-5, SC-12, SC-17</t>
        </is>
      </c>
    </row>
    <row r="35" ht="15" customHeight="1">
      <c r="A35" s="3" t="n"/>
    </row>
    <row r="36" ht="15" customHeight="1">
      <c r="A36" s="3" t="n"/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[Approving official / title]</t>
        </is>
      </c>
      <c r="B40" s="15" t="n"/>
      <c r="C40" s="15" t="n"/>
      <c r="D40" s="15" t="n"/>
    </row>
    <row r="41" ht="34" customHeight="1">
      <c r="A41" s="12" t="inlineStr">
        <is>
          <t>[Owner role]</t>
        </is>
      </c>
      <c r="B41" s="15" t="n"/>
      <c r="C41" s="15" t="n"/>
      <c r="D41" s="15" t="n"/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[#]</t>
        </is>
      </c>
      <c r="B45" s="12" t="inlineStr">
        <is>
          <t>[Date]</t>
        </is>
      </c>
      <c r="C45" s="12" t="inlineStr">
        <is>
          <t>[Role]</t>
        </is>
      </c>
      <c r="D45" s="12" t="inlineStr">
        <is>
          <t>[Initial issue]</t>
        </is>
      </c>
      <c r="E45" s="12" t="n"/>
      <c r="F45" s="12" t="n"/>
      <c r="G45" s="12" t="n"/>
    </row>
    <row r="47" ht="30" customHeight="1">
      <c r="A47" s="2" t="inlineStr">
        <is>
          <t>Drafter's note (internal, delete before publishing): single-sheet key register keyed to the Master Asset Inventory; each key or key-class names a custodian and a backup custodian, entries without a backup custodian are counted in the Summary (col E), special-use keys are flagged (col F), and escrow or recovery references are carried in Notes (col J). Governed by the Key &amp; Certificate Management Policy; key backup and recovery run under the Key Escrow and Recovery Procedure and rotation under the Key Rotation Schedule. No CJIS or Indiana citation: State-maintained IDACS cryptography is out of PSAP scope (add CJIS §5.10.1.2 and 240 IAC 5 only if the agency manages keys that protect CJI). Agency-supplied values in brackets.</t>
        </is>
      </c>
    </row>
    <row r="48">
      <c r="A48" t="inlineStr">
        <is>
          <t>Records the custody of every cryptographic key behind the Key &amp; Certificate Management Policy; the rotation cadence is in the Key Rotation Schedule and escrow is in the Key Escrow and Recovery Procedure (point, do not restate). A populated register names individuals, so it is Confidential. CJIS and IDACS scope: this excludes State-maintained IDACS cryptography; if the Agency holds keys for an IDACS-connected system itself, add 240 IAC 5 and CJIS Security Policy v5.9 §5.10.1.2 and apply the CJIS overlay.</t>
        </is>
      </c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2" customWidth="1" min="1" max="1"/>
    <col width="46" customWidth="1" min="2" max="2"/>
    <col width="14" customWidth="1" min="3" max="3"/>
    <col width="34" customWidth="1" min="4" max="4"/>
  </cols>
  <sheetData>
    <row r="1" ht="25.5" customHeight="1">
      <c r="A1" s="10" t="inlineStr">
        <is>
          <t>Column Instructions &amp; How to Use</t>
        </is>
      </c>
    </row>
    <row r="2" ht="43.5" customHeight="1">
      <c r="A2" s="1" t="inlineStr">
        <is>
          <t>How to use this template: fill the header block on the Register tab, replace every [BRACKETED] field, list one row per in-scope system or endpoint group, then delete every « » note before publishing.</t>
        </is>
      </c>
    </row>
    <row r="3" ht="29.75" customHeight="1">
      <c r="A3" s="1" t="inlineStr">
        <is>
          <t>Placeholder key:  [BRACKETED] = fill in   ·   « » = guidance to delete.  Classification, Source Authority, signatures and revision history live on the Register tab.</t>
        </is>
      </c>
    </row>
    <row r="4"/>
    <row r="5" ht="16" customHeight="1">
      <c r="A5" s="16" t="inlineStr">
        <is>
          <t>The columns in this register</t>
        </is>
      </c>
    </row>
    <row r="6" ht="24" customHeight="1">
      <c r="A6" s="11" t="inlineStr">
        <is>
          <t>Column</t>
        </is>
      </c>
      <c r="B6" s="11" t="inlineStr">
        <is>
          <t>What it holds</t>
        </is>
      </c>
      <c r="C6" s="11" t="inlineStr">
        <is>
          <t>Required?</t>
        </is>
      </c>
      <c r="D6" s="11" t="inlineStr">
        <is>
          <t>Example value</t>
        </is>
      </c>
    </row>
    <row r="7" ht="30" customHeight="1">
      <c r="A7" s="17" t="inlineStr">
        <is>
          <t>Key / Key-Class ID</t>
        </is>
      </c>
      <c r="B7" s="12" t="inlineStr">
        <is>
          <t>Stable identifier for the key or key-class.</t>
        </is>
      </c>
      <c r="C7" s="12" t="inlineStr">
        <is>
          <t>Required</t>
        </is>
      </c>
      <c r="D7" s="12" t="inlineStr">
        <is>
          <t>KEY-014</t>
        </is>
      </c>
    </row>
    <row r="8" ht="30" customHeight="1">
      <c r="A8" s="17" t="inlineStr">
        <is>
          <t>Key Type &amp; Purpose</t>
        </is>
      </c>
      <c r="B8" s="12" t="inlineStr">
        <is>
          <t>Algorithm or type and what it protects.</t>
        </is>
      </c>
      <c r="C8" s="12" t="inlineStr">
        <is>
          <t>Required</t>
        </is>
      </c>
      <c r="D8" s="12" t="inlineStr">
        <is>
          <t>AES-256, database at rest</t>
        </is>
      </c>
    </row>
    <row r="9" ht="30" customHeight="1">
      <c r="A9" s="17" t="inlineStr">
        <is>
          <t>Systems Protected</t>
        </is>
      </c>
      <c r="B9" s="12" t="inlineStr">
        <is>
          <t>Systems or data this key protects.</t>
        </is>
      </c>
      <c r="C9" s="12" t="inlineStr">
        <is>
          <t>Required</t>
        </is>
      </c>
      <c r="D9" s="12" t="inlineStr">
        <is>
          <t>CAD database</t>
        </is>
      </c>
    </row>
    <row r="10" ht="30" customHeight="1">
      <c r="A10" s="17" t="inlineStr">
        <is>
          <t>Custodian (Role)</t>
        </is>
      </c>
      <c r="B10" s="12" t="inlineStr">
        <is>
          <t>Role that holds and controls the key.</t>
        </is>
      </c>
      <c r="C10" s="12" t="inlineStr">
        <is>
          <t>Required</t>
        </is>
      </c>
      <c r="D10" s="12" t="inlineStr">
        <is>
          <t>IT Support Lead</t>
        </is>
      </c>
    </row>
    <row r="11" ht="30" customHeight="1">
      <c r="A11" s="17" t="inlineStr">
        <is>
          <t>Backup Custodian (Role)</t>
        </is>
      </c>
      <c r="B11" s="12" t="inlineStr">
        <is>
          <t>Second role that can act if the custodian is unavailable.</t>
        </is>
      </c>
      <c r="C11" s="12" t="inlineStr">
        <is>
          <t>Required</t>
        </is>
      </c>
      <c r="D11" s="12" t="inlineStr">
        <is>
          <t>County IT Manager</t>
        </is>
      </c>
    </row>
    <row r="12" ht="30" customHeight="1">
      <c r="A12" s="17" t="inlineStr">
        <is>
          <t>Special-Use Flag</t>
        </is>
      </c>
      <c r="B12" s="12" t="inlineStr">
        <is>
          <t>Log-integrity, device certificate, or other special use.</t>
        </is>
      </c>
      <c r="C12" s="12" t="inlineStr">
        <is>
          <t>Conditional</t>
        </is>
      </c>
      <c r="D12" s="12" t="inlineStr">
        <is>
          <t>Log-integrity signing</t>
        </is>
      </c>
    </row>
    <row r="13" ht="30" customHeight="1">
      <c r="A13" s="17" t="inlineStr">
        <is>
          <t>Status</t>
        </is>
      </c>
      <c r="B13" s="12" t="inlineStr">
        <is>
          <t>Lifecycle state. Dropdown: Active, Pending rotation, Retired, Superseded.</t>
        </is>
      </c>
      <c r="C13" s="12" t="inlineStr">
        <is>
          <t>Required</t>
        </is>
      </c>
      <c r="D13" s="12" t="inlineStr">
        <is>
          <t>Active</t>
        </is>
      </c>
    </row>
    <row r="14">
      <c r="A14" s="17" t="inlineStr">
        <is>
          <t>Last Reviewed</t>
        </is>
      </c>
      <c r="B14" s="12" t="inlineStr">
        <is>
          <t>Date the entry was last verified.</t>
        </is>
      </c>
      <c r="C14" s="12" t="inlineStr">
        <is>
          <t>Required</t>
        </is>
      </c>
      <c r="D14" s="12" t="inlineStr">
        <is>
          <t>2026-03-01</t>
        </is>
      </c>
    </row>
    <row r="15" ht="29.75" customHeight="1">
      <c r="A15" s="17" t="inlineStr">
        <is>
          <t>Next Review Due</t>
        </is>
      </c>
      <c r="B15" s="12" t="inlineStr">
        <is>
          <t>Date the entry must next be reviewed.</t>
        </is>
      </c>
      <c r="C15" s="12" t="inlineStr">
        <is>
          <t>Required</t>
        </is>
      </c>
      <c r="D15" s="12" t="inlineStr">
        <is>
          <t>2026-06-01</t>
        </is>
      </c>
    </row>
    <row r="16">
      <c r="A16" s="17" t="inlineStr">
        <is>
          <t>Notes / Escrow Reference</t>
        </is>
      </c>
      <c r="B16" s="12" t="inlineStr">
        <is>
          <t>Where the recovery copy is held (see Key Escrow and Recovery Procedure).</t>
        </is>
      </c>
      <c r="C16" s="12" t="inlineStr">
        <is>
          <t>Optional</t>
        </is>
      </c>
      <c r="D16" s="12" t="inlineStr">
        <is>
          <t>Escrowed, KMS vault</t>
        </is>
      </c>
    </row>
    <row r="17" ht="20" customHeight="1">
      <c r="A17" s="18" t="n"/>
    </row>
    <row r="18" ht="30" customHeight="1">
      <c r="A18" s="19" t="inlineStr">
        <is>
          <t>« Certificates from a public or internal CA are tracked to renewal; self-signed certificates are recorded as approved exceptions with a justification. Keep each private key available for DR. »</t>
        </is>
      </c>
    </row>
    <row r="19">
      <c r="A19" s="18" t="n"/>
      <c r="B19" s="18" t="n"/>
    </row>
    <row r="20" ht="42" customHeight="1">
      <c r="A20" s="18" t="inlineStr">
        <is>
          <t>Profile Scaling Notes</t>
        </is>
      </c>
      <c r="B20" s="21" t="n"/>
    </row>
    <row r="21" ht="42" customHeight="1">
      <c r="A21" s="19" t="inlineStr">
        <is>
          <t>What minimum-viable upkeep looks like at each PSAP size. Keep all three rows while this ships as a template; once adopted, keep the one that fits.</t>
        </is>
      </c>
      <c r="B21" s="21" t="n"/>
    </row>
    <row r="22" ht="42" customHeight="1">
      <c r="A22" s="18" t="inlineStr">
        <is>
          <t>PSAP Profile</t>
        </is>
      </c>
      <c r="B22" s="18" t="inlineStr">
        <is>
          <t>Minimum-viable implementation</t>
        </is>
      </c>
    </row>
    <row r="23">
      <c r="A23" s="20" t="inlineStr">
        <is>
          <t>Small (1–5, no in-house IT)</t>
        </is>
      </c>
      <c r="B23" s="21" t="inlineStr">
        <is>
          <t>A short list kept by hand. One person records each key, who holds it, and a second person who can reach it if they are out.</t>
        </is>
      </c>
    </row>
    <row r="24">
      <c r="A24" s="20" t="inlineStr">
        <is>
          <t>Medium (6–25, shared county IT)</t>
        </is>
      </c>
      <c r="B24" s="21" t="inlineStr">
        <is>
          <t>A named coordinator keeps the register for the county's shared systems and reviews it on the set cadence.</t>
        </is>
      </c>
    </row>
    <row r="25">
      <c r="A25" s="20" t="inlineStr">
        <is>
          <t>Large (25+, dedicated IT/security)</t>
        </is>
      </c>
      <c r="B25" s="21" t="inlineStr">
        <is>
          <t>Populated from the key-management system of record and reconciled at each review; custodians and backups are role-mapped.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2026-07-20T16:33:01Z</dcterms:modified>
  <cp:lastModifiedBy>Jason Jeffares</cp:lastModifiedBy>
  <cp:revision>0</cp:revision>
</cp:coreProperties>
</file>
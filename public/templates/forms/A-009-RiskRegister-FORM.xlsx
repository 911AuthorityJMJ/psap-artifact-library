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bookViews>
  <sheets>
    <sheet name="Register" sheetId="1" state="visible" r:id="rId3"/>
    <sheet name="Column Instructions" sheetId="2" state="visible" r:id="rId4"/>
  </sheets>
  <definedNames>
    <definedName name="_xlnm.Print_Titles" localSheetId="0">Register!$11:$11</definedName>
  </definedNames>
  <calcPr calcId="191029"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<sst xmlns="http://schemas.openxmlformats.org/spreadsheetml/2006/main" count="153" uniqueCount="113">
  <si>
    <t xml:space="preserve">Risk Register</t>
  </si>
  <si>
    <t xml:space="preserve">Authority</t>
  </si>
  <si>
    <t xml:space="preserve">Adopted by [Agency Name] under the authority of [signing official / title].</t>
  </si>
  <si>
    <t xml:space="preserve">Owner</t>
  </si>
  <si>
    <t xml:space="preserve">[Role title]   « use a role, not a person’s name »</t>
  </si>
  <si>
    <t xml:space="preserve">Version / Dates</t>
  </si>
  <si>
    <t xml:space="preserve">Version [#]      Effective Date [Date]      Next Review [Date]</t>
  </si>
  <si>
    <t xml:space="preserve">Classification</t>
  </si>
  <si>
    <t xml:space="preserve">Restricted   « Minimum for this register. A populated risk register exposes weaknesses; do not lower it. »</t>
  </si>
  <si>
    <t xml:space="preserve">Review cadence</t>
  </si>
  <si>
    <t xml:space="preserve">Reviewed at least [quarterly] by the [Owner role]; the register grows through all program phases.</t>
  </si>
  <si>
    <t xml:space="preserve">Risk Register Entries</t>
  </si>
  <si>
    <t xml:space="preserve">« One row per identified risk. Likelihood, impact, and rating follow the Risk Management Methodology Standard. Set Status from the dropdown. »</t>
  </si>
  <si>
    <t xml:space="preserve">Risk ID</t>
  </si>
  <si>
    <t xml:space="preserve">Risk Description</t>
  </si>
  <si>
    <t xml:space="preserve">Source / Category</t>
  </si>
  <si>
    <t xml:space="preserve">Likelihood</t>
  </si>
  <si>
    <t xml:space="preserve">Impact</t>
  </si>
  <si>
    <t xml:space="preserve">Risk Rating</t>
  </si>
  <si>
    <t xml:space="preserve">Treatment Decision</t>
  </si>
  <si>
    <t xml:space="preserve">Risk Owner (Role)</t>
  </si>
  <si>
    <t xml:space="preserve">Status</t>
  </si>
  <si>
    <t xml:space="preserve">Review Date</t>
  </si>
  <si>
    <t xml:space="preserve">Cross-Ref (POA&amp;M / Treatment Log)</t>
  </si>
  <si>
    <t xml:space="preserve">RISK-001</t>
  </si>
  <si>
    <t xml:space="preserve">[Single upstream carrier creates a 911 call-delivery single point of failure]</t>
  </si>
  <si>
    <t xml:space="preserve">[Continuity]</t>
  </si>
  <si>
    <t xml:space="preserve">[L per methodology]</t>
  </si>
  <si>
    <t xml:space="preserve">[I per methodology]</t>
  </si>
  <si>
    <t xml:space="preserve">[Rating per methodology]</t>
  </si>
  <si>
    <t xml:space="preserve">[Treat: pursue diverse routing]</t>
  </si>
  <si>
    <t xml:space="preserve">[Director / Coordinator]</t>
  </si>
  <si>
    <t xml:space="preserve">Open</t>
  </si>
  <si>
    <t xml:space="preserve">[YYYY-MM-DD]</t>
  </si>
  <si>
    <t xml:space="preserve">[POA&amp;M ref]</t>
  </si>
  <si>
    <t xml:space="preserve">RISK-002</t>
  </si>
  <si>
    <t xml:space="preserve">[Unpatched legacy workstation on the dispatch network]</t>
  </si>
  <si>
    <t xml:space="preserve">[Technical / vulnerability]</t>
  </si>
  <si>
    <t xml:space="preserve">[L]</t>
  </si>
  <si>
    <t xml:space="preserve">[I]</t>
  </si>
  <si>
    <t xml:space="preserve">[Rating]</t>
  </si>
  <si>
    <t xml:space="preserve">[Treat: isolate and replace]</t>
  </si>
  <si>
    <t xml:space="preserve">[IT support lead]</t>
  </si>
  <si>
    <t xml:space="preserve">Treating</t>
  </si>
  <si>
    <t xml:space="preserve">[POA&amp;M-014]</t>
  </si>
  <si>
    <t xml:space="preserve">RISK-003</t>
  </si>
  <si>
    <t xml:space="preserve">[Vendor remote access without MFA]</t>
  </si>
  <si>
    <t xml:space="preserve">[Third-party]</t>
  </si>
  <si>
    <t xml:space="preserve">[Treat: require MFA in SLA]</t>
  </si>
  <si>
    <t xml:space="preserve">[Vendor manager]</t>
  </si>
  <si>
    <t xml:space="preserve">[Add risks as identified]</t>
  </si>
  <si>
    <t xml:space="preserve">[Risk description]</t>
  </si>
  <si>
    <t xml:space="preserve">[Category]</t>
  </si>
  <si>
    <t xml:space="preserve">[Treatment decision]</t>
  </si>
  <si>
    <t xml:space="preserve">[Role]</t>
  </si>
  <si>
    <t xml:space="preserve">[Reference]</t>
  </si>
  <si>
    <t xml:space="preserve">Summary</t>
  </si>
  <si>
    <t xml:space="preserve">Total risks</t>
  </si>
  <si>
    <t xml:space="preserve">Accepted</t>
  </si>
  <si>
    <t xml:space="preserve">Closed</t>
  </si>
  <si>
    <t xml:space="preserve">Past due for review</t>
  </si>
  <si>
    <t xml:space="preserve">Scope &amp; Boundary</t>
  </si>
  <si>
    <t xml:space="preserve">This register holds enterprise and strategic risks. Assessment findings tracked to closure are recorded in the Risk / Finding Register (POA&amp;M); current treatment state is maintained in the Risk Treatment / Acceptance Decisions Log. Reference those documents; do not restate their contents here.</t>
  </si>
  <si>
    <t xml:space="preserve">Likelihood, impact, and rating are scored using the scale defined in the Risk Management Methodology Standard. Use that document’s definitions so ratings stay comparable across entries.</t>
  </si>
  <si>
    <t xml:space="preserve">Downstream Use</t>
  </si>
  <si>
    <t xml:space="preserve">This register is the parent risk record. The Risk / Finding Register (POA&amp;M) feeds findings into it, and the Board / Leadership Security Reporting Template rolls it up for leadership.</t>
  </si>
  <si>
    <t xml:space="preserve">Source Authority</t>
  </si>
  <si>
    <t xml:space="preserve">« List only the authorities that map to this artifact. Group by authority; order numerically. No padding. »</t>
  </si>
  <si>
    <t xml:space="preserve">NENA-STA-040.2-2024: §4.3, §4.3.1</t>
  </si>
  <si>
    <t xml:space="preserve">NIST SP 800-53 Rev. 5: CA-5, PM-9, RA-3, RA-7</t>
  </si>
  <si>
    <t xml:space="preserve">Indiana statutes and administrative code: [if applicable]</t>
  </si>
  <si>
    <t xml:space="preserve">Approval Signatures</t>
  </si>
  <si>
    <t xml:space="preserve">Role</t>
  </si>
  <si>
    <t xml:space="preserve">Name</t>
  </si>
  <si>
    <t xml:space="preserve">Signature</t>
  </si>
  <si>
    <t xml:space="preserve">Date</t>
  </si>
  <si>
    <t xml:space="preserve">[Approving official / title]</t>
  </si>
  <si>
    <t xml:space="preserve">[Owner role]</t>
  </si>
  <si>
    <t xml:space="preserve">Revision History</t>
  </si>
  <si>
    <t xml:space="preserve">Version</t>
  </si>
  <si>
    <t xml:space="preserve">Author</t>
  </si>
  <si>
    <t xml:space="preserve">Summary of Change</t>
  </si>
  <si>
    <t xml:space="preserve">[#]</t>
  </si>
  <si>
    <t xml:space="preserve">[Date]</t>
  </si>
  <si>
    <t xml:space="preserve">[Initial issue]</t>
  </si>
  <si>
    <t xml:space="preserve">Drafter’s note (internal, delete before publishing): Likelihood, impact, and rating scales are defined in the Risk Management Methodology Standard and are not restated here. Indiana statutory citation left open pending confirmation that a specific statute governs enterprise risk recording.</t>
  </si>
  <si>
    <t xml:space="preserve">Column Instructions &amp; How to Use</t>
  </si>
  <si>
    <t xml:space="preserve">How to use: this is the live ledger of identified risks. Fill the header block, then one row per risk, scored against the Risk Management Methodology Standard. The Summary counts risks by status and flags overdue reviews.</t>
  </si>
  <si>
    <t xml:space="preserve">Placeholder key:  [BRACKETED] = fill in   ·   « » = guidance to delete.  Classification is a minimum; an adopting agency may raise it but not lower it.</t>
  </si>
  <si>
    <t xml:space="preserve">Column</t>
  </si>
  <si>
    <t xml:space="preserve">What it holds</t>
  </si>
  <si>
    <t xml:space="preserve">Required?</t>
  </si>
  <si>
    <t xml:space="preserve">Example value</t>
  </si>
  <si>
    <t xml:space="preserve">Stable, unique identifier for the risk. Does not change once assigned.</t>
  </si>
  <si>
    <t xml:space="preserve">Required</t>
  </si>
  <si>
    <t xml:space="preserve">RISK-014</t>
  </si>
  <si>
    <t xml:space="preserve">What the risk is, stated plainly enough to picture.</t>
  </si>
  <si>
    <t xml:space="preserve">Single upstream carrier</t>
  </si>
  <si>
    <t xml:space="preserve">Where the risk comes from or its type.</t>
  </si>
  <si>
    <t xml:space="preserve">Continuity</t>
  </si>
  <si>
    <t xml:space="preserve">Scored per the Risk Management Methodology Standard.</t>
  </si>
  <si>
    <t xml:space="preserve">[per methodology]</t>
  </si>
  <si>
    <t xml:space="preserve">Derived from likelihood and impact per the methodology.</t>
  </si>
  <si>
    <t xml:space="preserve">Treat, accept, transfer, or avoid, with the chosen action.</t>
  </si>
  <si>
    <t xml:space="preserve">Treat: diverse routing</t>
  </si>
  <si>
    <t xml:space="preserve">Role accountable for the risk. A role, never a person’s name.</t>
  </si>
  <si>
    <t xml:space="preserve">Director / Coordinator</t>
  </si>
  <si>
    <t xml:space="preserve">Dropdown: Open, Treating, Accepted, Transferred, Closed.</t>
  </si>
  <si>
    <t xml:space="preserve">Date the risk is next reviewed. Drives the past-due count.</t>
  </si>
  <si>
    <t xml:space="preserve">2026-09-01</t>
  </si>
  <si>
    <t xml:space="preserve">Pointer to the related finding or treatment decision. Do not restate it.</t>
  </si>
  <si>
    <t xml:space="preserve">Optional</t>
  </si>
  <si>
    <t xml:space="preserve">POA&amp;M-014</t>
  </si>
</sst>
</file>

<file path=xl/styles.xml><?xml version="1.0" encoding="utf-8"?>
<styleSheet xmlns="http://schemas.openxmlformats.org/spreadsheetml/2006/main">
  <numFmts count="2">
    <numFmt numFmtId="164" formatCode="General"/>
    <numFmt numFmtId="165" formatCode="yyyy-mm-dd"/>
  </numFmts>
  <fonts count="14">
    <font>
      <sz val="11"/>
      <color theme="1"/>
      <name val="Aptos"/>
      <family val="2"/>
      <charset val="1"/>
    </font>
    <font>
      <sz val="10"/>
      <name val="Aptos"/>
      <family val="0"/>
    </font>
    <font>
      <sz val="10"/>
      <name val="Aptos"/>
      <family val="0"/>
    </font>
    <font>
      <sz val="10"/>
      <name val="Aptos"/>
      <family val="0"/>
    </font>
    <font>
      <b val="true"/>
      <sz val="16"/>
      <color rgb="FFFFFFFF"/>
      <name val="Aptos"/>
      <family val="0"/>
      <charset val="1"/>
    </font>
    <font>
      <b val="true"/>
      <sz val="12"/>
      <color rgb="FF1B3A5C"/>
      <name val="Aptos"/>
      <family val="0"/>
      <charset val="1"/>
    </font>
    <font>
      <sz val="12"/>
      <color rgb="FF000000"/>
      <name val="Aptos"/>
      <family val="0"/>
      <charset val="1"/>
    </font>
    <font>
      <i val="true"/>
      <sz val="11"/>
      <color rgb="FF595959"/>
      <name val="Aptos"/>
      <family val="0"/>
      <charset val="1"/>
    </font>
    <font>
      <b val="true"/>
      <sz val="12"/>
      <color rgb="FFFFFFFF"/>
      <name val="Aptos"/>
      <family val="0"/>
      <charset val="1"/>
    </font>
    <font>
      <b val="true"/>
      <sz val="14"/>
      <color rgb="FF1B3A5C"/>
      <name val="Aptos"/>
      <family val="0"/>
      <charset val="1"/>
    </font>
    <font>
      <b/>
      <sz val="12"/>
      <color rgb="FFFFFFFF"/>
      <name val="Aptos"/>
    </font>
    <font>
      <i/>
      <sz val="11"/>
      <color rgb="FF595959"/>
      <name val="Aptos"/>
    </font>
    <font>
      <b/>
      <sz val="12"/>
      <color rgb="FF000000"/>
      <name val="Aptos"/>
    </font>
    <font>
      <sz val="12"/>
      <color rgb="FF000000"/>
      <name val="Aptos"/>
    </font>
  </fonts>
  <fills count="5">
    <fill>
      <patternFill patternType="none"/>
    </fill>
    <fill>
      <patternFill patternType="gray125"/>
    </fill>
    <fill>
      <patternFill patternType="solid">
        <fgColor rgb="FF1B3A5C"/>
        <bgColor rgb="FF333333"/>
      </patternFill>
    </fill>
    <fill>
      <patternFill patternType="solid">
        <fgColor rgb="FFEEF2F7"/>
        <bgColor rgb="FFFFFFFF"/>
      </patternFill>
    </fill>
    <fill>
      <patternFill patternType="solid">
        <fgColor rgb="FF1B3A5C"/>
        <bgColor indexed="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0" fontId="10" fillId="4" borderId="1" xfId="0" applyFont="1" applyFill="1" applyBorder="1" applyAlignment="1">
      <alignment horizontal="center" vertical="center" wrapText="1"/>
    </xf>
    <xf numFmtId="0" fontId="11" fillId="0" borderId="0" xfId="0" applyFont="1" applyAlignment="1">
      <alignment horizontal="left" vertical="center"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applyNumberFormat="1" numFmtId="165"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2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1"/>
  </sheetPr>
  <dimension ref="A1:K47"/>
  <sheetViews>
    <sheetView showFormulas="false" showGridLines="0" showRowColHeaders="true" showZeros="true" rightToLeft="false" tabSelected="true" showOutlineSymbols="true" defaultGridColor="true" view="normal" colorId="64" zoomScale="100" zoomScaleNormal="100" zoomScalePageLayoutView="100" workbookViewId="0">
      <pane xSplit="0" ySplit="11" topLeftCell="A12" activePane="bottomLeft" state="frozen"/>
      <selection pane="topLeft" activeCell="A12" activeCellId="0" sqref="A12"/>
      <selection pane="bottomLeft" activeCell="A12" activeCellId="0" sqref="A12"/>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8"/>
    <col collapsed="false" customWidth="true" hidden="false" outlineLevel="0" max="4" min="4" style="1" width="14"/>
    <col collapsed="false" customWidth="true" hidden="false" outlineLevel="0" max="5" min="5" style="1" width="12"/>
    <col collapsed="false" customWidth="true" hidden="false" outlineLevel="0" max="6" min="6" style="1" width="14"/>
    <col collapsed="false" customWidth="true" hidden="false" outlineLevel="0" max="7" min="7" style="1" width="26"/>
    <col collapsed="false" customWidth="true" hidden="false" outlineLevel="0" max="8" min="8" style="1" width="20"/>
    <col collapsed="false" customWidth="true" hidden="false" outlineLevel="0" max="9" min="9" style="1" width="14"/>
    <col collapsed="false" customWidth="true" hidden="false" outlineLevel="0" max="10" min="10" style="1" width="16"/>
    <col collapsed="false" customWidth="true" hidden="false" outlineLevel="0" max="11" min="11" style="1" width="26"/>
  </cols>
  <sheetData>
    <row r="1" customFormat="false" ht="25.5" hidden="false" customHeight="true" outlineLevel="0" collapsed="false">
      <c r="A1" s="2" t="s">
        <v>0</v>
      </c>
      <c r="B1" s="2"/>
      <c r="C1" s="2"/>
      <c r="D1" s="2"/>
      <c r="E1" s="2"/>
      <c r="F1" s="2"/>
      <c r="G1" s="2"/>
      <c r="H1" s="2"/>
      <c r="I1" s="2"/>
      <c r="J1" s="2"/>
      <c r="K1" s="2"/>
    </row>
    <row r="3" customFormat="false" ht="30" hidden="false" customHeight="true" outlineLevel="0" collapsed="false">
      <c r="A3" s="3" t="s">
        <v>1</v>
      </c>
      <c r="B3" s="3"/>
      <c r="C3" s="4" t="s">
        <v>2</v>
      </c>
      <c r="D3" s="4"/>
      <c r="E3" s="4"/>
      <c r="F3" s="4"/>
      <c r="G3" s="4"/>
      <c r="H3" s="4"/>
      <c r="I3" s="4"/>
      <c r="J3" s="4"/>
      <c r="K3" s="4"/>
    </row>
    <row r="4" customFormat="false" ht="30" hidden="false" customHeight="true" outlineLevel="0" collapsed="false">
      <c r="A4" s="3" t="s">
        <v>3</v>
      </c>
      <c r="B4" s="3"/>
      <c r="C4" s="4" t="s">
        <v>4</v>
      </c>
      <c r="D4" s="4"/>
      <c r="E4" s="4"/>
      <c r="F4" s="4"/>
      <c r="G4" s="4"/>
      <c r="H4" s="4"/>
      <c r="I4" s="4"/>
      <c r="J4" s="4"/>
      <c r="K4" s="4"/>
    </row>
    <row r="5" customFormat="false" ht="30" hidden="false" customHeight="true" outlineLevel="0" collapsed="false">
      <c r="A5" s="3" t="s">
        <v>5</v>
      </c>
      <c r="B5" s="3"/>
      <c r="C5" s="4" t="s">
        <v>6</v>
      </c>
      <c r="D5" s="4"/>
      <c r="E5" s="4"/>
      <c r="F5" s="4"/>
      <c r="G5" s="4"/>
      <c r="H5" s="4"/>
      <c r="I5" s="4"/>
      <c r="J5" s="4"/>
      <c r="K5" s="4"/>
    </row>
    <row r="6" customFormat="false" ht="30" hidden="false" customHeight="true" outlineLevel="0" collapsed="false">
      <c r="A6" s="3" t="s">
        <v>7</v>
      </c>
      <c r="B6" s="3"/>
      <c r="C6" s="4" t="s">
        <v>8</v>
      </c>
      <c r="D6" s="4"/>
      <c r="E6" s="4"/>
      <c r="F6" s="4"/>
      <c r="G6" s="4"/>
      <c r="H6" s="4"/>
      <c r="I6" s="4"/>
      <c r="J6" s="4"/>
      <c r="K6" s="4"/>
    </row>
    <row r="7" customFormat="false" ht="30" hidden="false" customHeight="true" outlineLevel="0" collapsed="false">
      <c r="A7" s="3" t="s">
        <v>9</v>
      </c>
      <c r="B7" s="3"/>
      <c r="C7" s="4" t="s">
        <v>10</v>
      </c>
      <c r="D7" s="4"/>
      <c r="E7" s="4"/>
      <c r="F7" s="4"/>
      <c r="G7" s="4"/>
      <c r="H7" s="4"/>
      <c r="I7" s="4"/>
      <c r="J7" s="4"/>
      <c r="K7" s="4"/>
    </row>
    <row r="9" customFormat="false" ht="15" hidden="false" customHeight="true" outlineLevel="0" collapsed="false">
      <c r="A9" s="5" t="s">
        <v>11</v>
      </c>
      <c r="B9" s="5"/>
      <c r="C9" s="5"/>
      <c r="D9" s="5"/>
      <c r="E9" s="5"/>
      <c r="F9" s="5"/>
      <c r="G9" s="5"/>
      <c r="H9" s="5"/>
      <c r="I9" s="5"/>
      <c r="J9" s="5"/>
      <c r="K9" s="5"/>
    </row>
    <row r="10" customFormat="false" ht="27.75" hidden="false" customHeight="true" outlineLevel="0" collapsed="false">
      <c r="A10" s="6" t="s">
        <v>12</v>
      </c>
      <c r="B10" s="6"/>
      <c r="C10" s="6"/>
      <c r="D10" s="6"/>
      <c r="E10" s="6"/>
      <c r="F10" s="6"/>
      <c r="G10" s="6"/>
      <c r="H10" s="6"/>
      <c r="I10" s="6"/>
      <c r="J10" s="6"/>
      <c r="K10" s="6"/>
    </row>
    <row r="11" customFormat="false" ht="39.75" hidden="false" customHeight="true" outlineLevel="0" collapsed="false">
      <c r="A11" s="7" t="s">
        <v>13</v>
      </c>
      <c r="B11" s="7" t="s">
        <v>14</v>
      </c>
      <c r="C11" s="7" t="s">
        <v>15</v>
      </c>
      <c r="D11" s="7" t="s">
        <v>16</v>
      </c>
      <c r="E11" s="7" t="s">
        <v>17</v>
      </c>
      <c r="F11" s="7" t="s">
        <v>18</v>
      </c>
      <c r="G11" s="7" t="s">
        <v>19</v>
      </c>
      <c r="H11" s="7" t="s">
        <v>20</v>
      </c>
      <c r="I11" s="7" t="s">
        <v>21</v>
      </c>
      <c r="J11" s="7" t="s">
        <v>22</v>
      </c>
      <c r="K11" s="7" t="s">
        <v>23</v>
      </c>
    </row>
    <row r="12" customFormat="false" hidden="false" outlineLevel="0" collapsed="false" ht="50.5" customHeight="1">
      <c r="A12" s="8" t="s">
        <v>24</v>
      </c>
      <c r="B12" s="8" t="s">
        <v>25</v>
      </c>
      <c r="C12" s="8" t="s">
        <v>26</v>
      </c>
      <c r="D12" s="8" t="s">
        <v>27</v>
      </c>
      <c r="E12" s="8" t="s">
        <v>28</v>
      </c>
      <c r="F12" s="8" t="s">
        <v>29</v>
      </c>
      <c r="G12" s="8" t="s">
        <v>30</v>
      </c>
      <c r="H12" s="8" t="s">
        <v>31</v>
      </c>
      <c r="I12" s="8" t="s">
        <v>32</v>
      </c>
      <c r="J12" s="8" t="s">
        <v>33</v>
      </c>
      <c r="K12" s="8" t="s">
        <v>34</v>
      </c>
    </row>
    <row r="13" customFormat="false" hidden="false" outlineLevel="0" collapsed="false" ht="34.7" customHeight="1">
      <c r="A13" s="8" t="s">
        <v>35</v>
      </c>
      <c r="B13" s="8" t="s">
        <v>36</v>
      </c>
      <c r="C13" s="8" t="s">
        <v>37</v>
      </c>
      <c r="D13" s="8" t="s">
        <v>38</v>
      </c>
      <c r="E13" s="8" t="s">
        <v>39</v>
      </c>
      <c r="F13" s="8" t="s">
        <v>40</v>
      </c>
      <c r="G13" s="8" t="s">
        <v>41</v>
      </c>
      <c r="H13" s="8" t="s">
        <v>42</v>
      </c>
      <c r="I13" s="8" t="s">
        <v>43</v>
      </c>
      <c r="J13" s="8" t="s">
        <v>33</v>
      </c>
      <c r="K13" s="8" t="s">
        <v>44</v>
      </c>
    </row>
    <row r="14" customFormat="false" hidden="false" outlineLevel="0" collapsed="false" ht="34.7" customHeight="1">
      <c r="A14" s="8" t="s">
        <v>45</v>
      </c>
      <c r="B14" s="8" t="s">
        <v>46</v>
      </c>
      <c r="C14" s="8" t="s">
        <v>47</v>
      </c>
      <c r="D14" s="8" t="s">
        <v>38</v>
      </c>
      <c r="E14" s="8" t="s">
        <v>39</v>
      </c>
      <c r="F14" s="8" t="s">
        <v>40</v>
      </c>
      <c r="G14" s="8" t="s">
        <v>48</v>
      </c>
      <c r="H14" s="8" t="s">
        <v>49</v>
      </c>
      <c r="I14" s="8" t="s">
        <v>32</v>
      </c>
      <c r="J14" s="8" t="s">
        <v>33</v>
      </c>
      <c r="K14" s="8" t="s">
        <v>34</v>
      </c>
    </row>
    <row r="15" customFormat="false" hidden="false" outlineLevel="0" collapsed="false" ht="50.5" customHeight="1">
      <c r="A15" s="8" t="s">
        <v>50</v>
      </c>
      <c r="B15" s="8" t="s">
        <v>51</v>
      </c>
      <c r="C15" s="8" t="s">
        <v>52</v>
      </c>
      <c r="D15" s="8" t="s">
        <v>38</v>
      </c>
      <c r="E15" s="8" t="s">
        <v>39</v>
      </c>
      <c r="F15" s="8" t="s">
        <v>40</v>
      </c>
      <c r="G15" s="8" t="s">
        <v>53</v>
      </c>
      <c r="H15" s="8" t="s">
        <v>54</v>
      </c>
      <c r="I15" s="8" t="s">
        <v>32</v>
      </c>
      <c r="J15" s="8" t="s">
        <v>33</v>
      </c>
      <c r="K15" s="8" t="s">
        <v>55</v>
      </c>
    </row>
    <row r="17" customFormat="false" ht="15" hidden="false" customHeight="true" outlineLevel="0" collapsed="false">
      <c r="A17" s="9" t="s">
        <v>56</v>
      </c>
      <c r="B17" s="9"/>
      <c r="C17" s="9"/>
      <c r="D17" s="9"/>
      <c r="E17" s="9"/>
      <c r="F17" s="9"/>
      <c r="G17" s="9"/>
      <c r="H17" s="9"/>
      <c r="I17" s="9"/>
      <c r="J17" s="9"/>
      <c r="K17" s="9"/>
    </row>
    <row r="18" customFormat="false" ht="15" hidden="false" customHeight="true" outlineLevel="0" collapsed="false">
      <c r="A18" s="10" t="s">
        <v>57</v>
      </c>
      <c r="C18" s="10" t="n">
        <f aca="false">COUNTA(A12:A15)</f>
      </c>
    </row>
    <row r="19" customFormat="false" ht="15" hidden="false" customHeight="true" outlineLevel="0" collapsed="false">
      <c r="A19" s="10" t="s">
        <v>32</v>
      </c>
      <c r="C19" s="10" t="n">
        <f aca="false">COUNTIF(I12:I15,"Open")</f>
      </c>
    </row>
    <row r="20" customFormat="false" ht="15" hidden="false" customHeight="true" outlineLevel="0" collapsed="false">
      <c r="A20" s="10" t="s">
        <v>43</v>
      </c>
      <c r="C20" s="10" t="n">
        <f aca="false">COUNTIF(I12:I15,"Treating")</f>
      </c>
    </row>
    <row r="21" customFormat="false" ht="15" hidden="false" customHeight="true" outlineLevel="0" collapsed="false">
      <c r="A21" s="10" t="s">
        <v>58</v>
      </c>
      <c r="C21" s="10" t="n">
        <f aca="false">COUNTIF(I12:I15,"Accepted")</f>
      </c>
    </row>
    <row r="22" customFormat="false" ht="15" hidden="false" customHeight="true" outlineLevel="0" collapsed="false">
      <c r="A22" s="10" t="s">
        <v>59</v>
      </c>
      <c r="C22" s="10" t="n">
        <f aca="false">COUNTIF(I12:I15,"Closed")</f>
      </c>
    </row>
    <row r="23" customFormat="false" ht="15" hidden="false" customHeight="true" outlineLevel="0" collapsed="false">
      <c r="A23" s="10" t="s">
        <v>60</v>
      </c>
      <c r="C23" s="10" t="n">
        <f aca="true">COUNTIF(J12:J15,"&lt;"&amp;TODAY())</f>
      </c>
    </row>
    <row r="25" customFormat="false" ht="15" hidden="false" customHeight="true" outlineLevel="0" collapsed="false">
      <c r="A25" s="9" t="s">
        <v>61</v>
      </c>
      <c r="B25" s="9"/>
      <c r="C25" s="9"/>
      <c r="D25" s="9"/>
      <c r="E25" s="9"/>
      <c r="F25" s="9"/>
      <c r="G25" s="9"/>
      <c r="H25" s="9"/>
      <c r="I25" s="9"/>
      <c r="J25" s="9"/>
      <c r="K25" s="9"/>
    </row>
    <row r="26" customFormat="false" ht="60" hidden="false" customHeight="true" outlineLevel="0" collapsed="false">
      <c r="A26" s="11" t="s">
        <v>62</v>
      </c>
      <c r="B26" s="11"/>
      <c r="C26" s="11"/>
      <c r="D26" s="11"/>
      <c r="E26" s="11"/>
      <c r="F26" s="11"/>
      <c r="G26" s="11"/>
      <c r="H26" s="11"/>
      <c r="I26" s="11"/>
      <c r="J26" s="11"/>
      <c r="K26" s="11"/>
    </row>
    <row r="27" customFormat="false" ht="45" hidden="false" customHeight="true" outlineLevel="0" collapsed="false">
      <c r="A27" s="11" t="s">
        <v>63</v>
      </c>
      <c r="B27" s="11"/>
      <c r="C27" s="11"/>
      <c r="D27" s="11"/>
      <c r="E27" s="11"/>
      <c r="F27" s="11"/>
      <c r="G27" s="11"/>
      <c r="H27" s="11"/>
      <c r="I27" s="11"/>
      <c r="J27" s="11"/>
      <c r="K27" s="11"/>
    </row>
    <row r="29" customFormat="false" ht="15" hidden="false" customHeight="true" outlineLevel="0" collapsed="false">
      <c r="A29" s="9" t="s">
        <v>64</v>
      </c>
      <c r="B29" s="9"/>
      <c r="C29" s="9"/>
      <c r="D29" s="9"/>
      <c r="E29" s="9"/>
      <c r="F29" s="9"/>
      <c r="G29" s="9"/>
      <c r="H29" s="9"/>
      <c r="I29" s="9"/>
      <c r="J29" s="9"/>
      <c r="K29" s="9"/>
    </row>
    <row r="30" customFormat="false" ht="45" hidden="false" customHeight="true" outlineLevel="0" collapsed="false">
      <c r="A30" s="11" t="s">
        <v>65</v>
      </c>
      <c r="B30" s="11"/>
      <c r="C30" s="11"/>
      <c r="D30" s="11"/>
      <c r="E30" s="11"/>
      <c r="F30" s="11"/>
      <c r="G30" s="11"/>
      <c r="H30" s="11"/>
      <c r="I30" s="11"/>
      <c r="J30" s="11"/>
      <c r="K30" s="11"/>
    </row>
    <row r="32" customFormat="false" ht="15" hidden="false" customHeight="true" outlineLevel="0" collapsed="false">
      <c r="A32" s="9" t="s">
        <v>66</v>
      </c>
      <c r="B32" s="9"/>
      <c r="C32" s="9"/>
      <c r="D32" s="9"/>
      <c r="E32" s="9"/>
      <c r="F32" s="9"/>
      <c r="G32" s="9"/>
      <c r="H32" s="9"/>
      <c r="I32" s="9"/>
      <c r="J32" s="9"/>
      <c r="K32" s="9"/>
    </row>
    <row r="33" customFormat="false" ht="15" hidden="false" customHeight="true" outlineLevel="0" collapsed="false">
      <c r="A33" s="6" t="s">
        <v>67</v>
      </c>
      <c r="B33" s="6"/>
      <c r="C33" s="6"/>
      <c r="D33" s="6"/>
      <c r="E33" s="6"/>
      <c r="F33" s="6"/>
      <c r="G33" s="6"/>
      <c r="H33" s="6"/>
      <c r="I33" s="6"/>
      <c r="J33" s="6"/>
      <c r="K33" s="6"/>
    </row>
    <row r="34" customFormat="false" ht="15" hidden="false" customHeight="true" outlineLevel="0" collapsed="false">
      <c r="A34" s="12" t="s">
        <v>68</v>
      </c>
      <c r="B34" s="12"/>
      <c r="C34" s="12"/>
      <c r="D34" s="12"/>
      <c r="E34" s="12"/>
      <c r="F34" s="12"/>
      <c r="G34" s="12"/>
      <c r="H34" s="12"/>
      <c r="I34" s="12"/>
      <c r="J34" s="12"/>
      <c r="K34" s="12"/>
    </row>
    <row r="35" customFormat="false" ht="15" hidden="false" customHeight="true" outlineLevel="0" collapsed="false">
      <c r="A35" s="12" t="s">
        <v>69</v>
      </c>
      <c r="B35" s="12"/>
      <c r="C35" s="12"/>
      <c r="D35" s="12"/>
      <c r="E35" s="12"/>
      <c r="F35" s="12"/>
      <c r="G35" s="12"/>
      <c r="H35" s="12"/>
      <c r="I35" s="12"/>
      <c r="J35" s="12"/>
      <c r="K35" s="12"/>
    </row>
    <row r="36" customFormat="false" ht="15" hidden="false" customHeight="true" outlineLevel="0" collapsed="false">
      <c r="A36" s="12" t="s">
        <v>70</v>
      </c>
      <c r="B36" s="12"/>
      <c r="C36" s="12"/>
      <c r="D36" s="12"/>
      <c r="E36" s="12"/>
      <c r="F36" s="12"/>
      <c r="G36" s="12"/>
      <c r="H36" s="12"/>
      <c r="I36" s="12"/>
      <c r="J36" s="12"/>
      <c r="K36" s="12"/>
    </row>
    <row r="38" customFormat="false" ht="15" hidden="false" customHeight="true" outlineLevel="0" collapsed="false">
      <c r="A38" s="9" t="s">
        <v>71</v>
      </c>
      <c r="B38" s="9"/>
      <c r="C38" s="9"/>
      <c r="D38" s="9"/>
      <c r="E38" s="9"/>
      <c r="F38" s="9"/>
      <c r="G38" s="9"/>
      <c r="H38" s="9"/>
      <c r="I38" s="9"/>
      <c r="J38" s="9"/>
      <c r="K38" s="9"/>
    </row>
    <row r="39" customFormat="false" ht="15" hidden="false" customHeight="true" outlineLevel="0" collapsed="false">
      <c r="A39" s="13" t="s">
        <v>72</v>
      </c>
      <c r="B39" s="13" t="s">
        <v>73</v>
      </c>
      <c r="C39" s="13" t="s">
        <v>74</v>
      </c>
      <c r="D39" s="13" t="s">
        <v>75</v>
      </c>
    </row>
    <row r="40" customFormat="false" ht="25.5" hidden="false" customHeight="true" outlineLevel="0" collapsed="false">
      <c r="A40" s="14" t="s">
        <v>76</v>
      </c>
      <c r="B40" s="15"/>
      <c r="C40" s="15"/>
      <c r="D40" s="15"/>
    </row>
    <row r="41" customFormat="false" ht="25.5" hidden="false" customHeight="true" outlineLevel="0" collapsed="false">
      <c r="A41" s="14" t="s">
        <v>77</v>
      </c>
      <c r="B41" s="15"/>
      <c r="C41" s="15"/>
      <c r="D41" s="15"/>
    </row>
    <row r="43" customFormat="false" ht="15" hidden="false" customHeight="true" outlineLevel="0" collapsed="false">
      <c r="A43" s="9" t="s">
        <v>78</v>
      </c>
      <c r="B43" s="9"/>
      <c r="C43" s="9"/>
      <c r="D43" s="9"/>
      <c r="E43" s="9"/>
      <c r="F43" s="9"/>
      <c r="G43" s="9"/>
      <c r="H43" s="9"/>
      <c r="I43" s="9"/>
      <c r="J43" s="9"/>
      <c r="K43" s="9"/>
    </row>
    <row r="44" customFormat="false" ht="15" hidden="false" customHeight="true" outlineLevel="0" collapsed="false">
      <c r="A44" s="13" t="s">
        <v>79</v>
      </c>
      <c r="B44" s="13" t="s">
        <v>75</v>
      </c>
      <c r="C44" s="13" t="s">
        <v>80</v>
      </c>
      <c r="D44" s="13" t="s">
        <v>81</v>
      </c>
    </row>
    <row r="45" customFormat="false" ht="15" hidden="false" customHeight="true" outlineLevel="0" collapsed="false">
      <c r="A45" s="14" t="s">
        <v>82</v>
      </c>
      <c r="B45" s="14" t="s">
        <v>83</v>
      </c>
      <c r="C45" s="14" t="s">
        <v>54</v>
      </c>
      <c r="D45" s="14" t="s">
        <v>84</v>
      </c>
    </row>
    <row r="47" customFormat="false" ht="60" hidden="false" customHeight="true" outlineLevel="0" collapsed="false">
      <c r="A47" s="16" t="s">
        <v>85</v>
      </c>
      <c r="B47" s="16"/>
      <c r="C47" s="16"/>
      <c r="D47" s="16"/>
      <c r="E47" s="16"/>
      <c r="F47" s="16"/>
      <c r="G47" s="16"/>
      <c r="H47" s="16"/>
      <c r="I47" s="16"/>
      <c r="J47" s="16"/>
      <c r="K47" s="16"/>
    </row>
  </sheetData>
  <mergeCells count="27">
    <mergeCell ref="A1:K1"/>
    <mergeCell ref="A3:B3"/>
    <mergeCell ref="C3:K3"/>
    <mergeCell ref="A4:B4"/>
    <mergeCell ref="C4:K4"/>
    <mergeCell ref="A5:B5"/>
    <mergeCell ref="C5:K5"/>
    <mergeCell ref="A6:B6"/>
    <mergeCell ref="C6:K6"/>
    <mergeCell ref="A7:B7"/>
    <mergeCell ref="C7:K7"/>
    <mergeCell ref="A9:K9"/>
    <mergeCell ref="A10:K10"/>
    <mergeCell ref="A17:K17"/>
    <mergeCell ref="A25:K25"/>
    <mergeCell ref="A26:K26"/>
    <mergeCell ref="A27:K27"/>
    <mergeCell ref="A29:K29"/>
    <mergeCell ref="A30:K30"/>
    <mergeCell ref="A32:K32"/>
    <mergeCell ref="A33:K33"/>
    <mergeCell ref="A34:K34"/>
    <mergeCell ref="A35:K35"/>
    <mergeCell ref="A36:K36"/>
    <mergeCell ref="A38:K38"/>
    <mergeCell ref="A43:K43"/>
    <mergeCell ref="A47:K47"/>
  </mergeCells>
  <dataValidations count="4">
    <dataValidation allowBlank="true" errorStyle="stop" operator="between" showDropDown="false" showErrorMessage="false" showInputMessage="false" sqref="I12:I45" type="list">
      <formula1>"Open,Treating,Accepted,Transferred,Closed"</formula1>
      <formula2>0</formula2>
    </dataValidation>
    <dataValidation sqref="D12:D15" showDropDown="0" showInputMessage="0" showErrorMessage="0" allowBlank="1" promptTitle="Likelihood" prompt="Select a value" type="list">
      <formula1>"Unlikely,Possible,Likely"</formula1>
      <formula2>0</formula2>
    </dataValidation>
    <dataValidation sqref="E12:E15" showDropDown="0" showInputMessage="0" showErrorMessage="0" allowBlank="1" promptTitle="Impact" prompt="Select a value" type="list">
      <formula1>"Moderate,Major,Severe"</formula1>
      <formula2>0</formula2>
    </dataValidation>
    <dataValidation sqref="F12:F15" showDropDown="0" showInputMessage="0" showErrorMessage="0" allowBlank="1" promptTitle="Risk Rating" prompt="Select a value" type="list">
      <formula1>"Low,Moderate,High"</formula1>
      <formula2>0</formula2>
    </dataValidation>
  </dataValidation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1"/>
  </sheetPr>
  <dimension ref="A1:D23"/>
  <sheetViews>
    <sheetView showFormulas="false" showGridLines="0" showRowColHeaders="true" showZeros="true" rightToLeft="false" tabSelected="false" showOutlineSymbols="true" defaultGridColor="true" view="normal"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60"/>
    <col collapsed="false" customWidth="true" hidden="false" outlineLevel="0" max="3" min="3" style="1" width="12"/>
    <col collapsed="false" customWidth="true" hidden="false" outlineLevel="0" max="4" min="4" style="1" width="34"/>
  </cols>
  <sheetData>
    <row r="1" customFormat="false" ht="17.25" hidden="false" customHeight="true" outlineLevel="0" collapsed="false">
      <c r="A1" s="17" t="s">
        <v>86</v>
      </c>
      <c r="B1" s="17"/>
      <c r="C1" s="17"/>
      <c r="D1" s="17"/>
    </row>
    <row r="2" customFormat="false" ht="43.5" hidden="false" customHeight="true" outlineLevel="0" collapsed="false">
      <c r="A2" s="16" t="s">
        <v>87</v>
      </c>
      <c r="B2" s="16"/>
      <c r="C2" s="16"/>
      <c r="D2" s="16"/>
    </row>
    <row r="3" customFormat="false" ht="30" hidden="false" customHeight="true" outlineLevel="0" collapsed="false">
      <c r="A3" s="16" t="s">
        <v>88</v>
      </c>
      <c r="B3" s="16"/>
      <c r="C3" s="16"/>
      <c r="D3" s="16"/>
    </row>
    <row r="5" customFormat="false" ht="15" hidden="false" customHeight="true" outlineLevel="0" collapsed="false">
      <c r="A5" s="13" t="s">
        <v>89</v>
      </c>
      <c r="B5" s="13" t="s">
        <v>90</v>
      </c>
      <c r="C5" s="13" t="s">
        <v>91</v>
      </c>
      <c r="D5" s="13" t="s">
        <v>92</v>
      </c>
    </row>
    <row r="6" customFormat="false" hidden="false" outlineLevel="0" collapsed="false" ht="34.7" customHeight="1">
      <c r="A6" s="18" t="s">
        <v>13</v>
      </c>
      <c r="B6" s="18" t="s">
        <v>93</v>
      </c>
      <c r="C6" s="18" t="s">
        <v>94</v>
      </c>
      <c r="D6" s="18" t="s">
        <v>95</v>
      </c>
    </row>
    <row r="7" customFormat="false" ht="30" hidden="false" customHeight="true" outlineLevel="0" collapsed="false">
      <c r="A7" s="18" t="s">
        <v>14</v>
      </c>
      <c r="B7" s="18" t="s">
        <v>96</v>
      </c>
      <c r="C7" s="18" t="s">
        <v>94</v>
      </c>
      <c r="D7" s="18" t="s">
        <v>97</v>
      </c>
    </row>
    <row r="8" customFormat="false" ht="30" hidden="false" customHeight="true" outlineLevel="0" collapsed="false">
      <c r="A8" s="18" t="s">
        <v>15</v>
      </c>
      <c r="B8" s="18" t="s">
        <v>98</v>
      </c>
      <c r="C8" s="18" t="s">
        <v>94</v>
      </c>
      <c r="D8" s="18" t="s">
        <v>99</v>
      </c>
    </row>
    <row r="9" customFormat="false" ht="30" hidden="false" customHeight="true" outlineLevel="0" collapsed="false">
      <c r="A9" s="18" t="s">
        <v>16</v>
      </c>
      <c r="B9" s="18" t="s">
        <v>100</v>
      </c>
      <c r="C9" s="18" t="s">
        <v>94</v>
      </c>
      <c r="D9" s="18" t="s">
        <v>101</v>
      </c>
    </row>
    <row r="10" customFormat="false" ht="30" hidden="false" customHeight="true" outlineLevel="0" collapsed="false">
      <c r="A10" s="18" t="s">
        <v>17</v>
      </c>
      <c r="B10" s="18" t="s">
        <v>100</v>
      </c>
      <c r="C10" s="18" t="s">
        <v>94</v>
      </c>
      <c r="D10" s="18" t="s">
        <v>101</v>
      </c>
    </row>
    <row r="11" customFormat="false" ht="30" hidden="false" customHeight="true" outlineLevel="0" collapsed="false">
      <c r="A11" s="18" t="s">
        <v>18</v>
      </c>
      <c r="B11" s="18" t="s">
        <v>102</v>
      </c>
      <c r="C11" s="18" t="s">
        <v>94</v>
      </c>
      <c r="D11" s="18" t="s">
        <v>101</v>
      </c>
    </row>
    <row r="12" customFormat="false" ht="30" hidden="false" customHeight="true" outlineLevel="0" collapsed="false">
      <c r="A12" s="18" t="s">
        <v>19</v>
      </c>
      <c r="B12" s="18" t="s">
        <v>103</v>
      </c>
      <c r="C12" s="18" t="s">
        <v>94</v>
      </c>
      <c r="D12" s="18" t="s">
        <v>104</v>
      </c>
    </row>
    <row r="13" customFormat="false" ht="30" hidden="false" customHeight="true" outlineLevel="0" collapsed="false">
      <c r="A13" s="18" t="s">
        <v>20</v>
      </c>
      <c r="B13" s="18" t="s">
        <v>105</v>
      </c>
      <c r="C13" s="18" t="s">
        <v>94</v>
      </c>
      <c r="D13" s="18" t="s">
        <v>106</v>
      </c>
    </row>
    <row r="14" customFormat="false" ht="30" hidden="false" customHeight="true" outlineLevel="0" collapsed="false">
      <c r="A14" s="18" t="s">
        <v>21</v>
      </c>
      <c r="B14" s="18" t="s">
        <v>107</v>
      </c>
      <c r="C14" s="18" t="s">
        <v>94</v>
      </c>
      <c r="D14" s="18" t="s">
        <v>32</v>
      </c>
    </row>
    <row r="15" customFormat="false" ht="30" hidden="false" customHeight="true" outlineLevel="0" collapsed="false">
      <c r="A15" s="18" t="s">
        <v>22</v>
      </c>
      <c r="B15" s="18" t="s">
        <v>108</v>
      </c>
      <c r="C15" s="18" t="s">
        <v>94</v>
      </c>
      <c r="D15" s="23">
        <v>46266</v>
      </c>
    </row>
    <row r="16" customFormat="false" hidden="false" outlineLevel="0" collapsed="false" ht="34.7" customHeight="1">
      <c r="A16" s="18" t="s">
        <v>23</v>
      </c>
      <c r="B16" s="18" t="s">
        <v>110</v>
      </c>
      <c r="C16" s="18" t="s">
        <v>111</v>
      </c>
      <c r="D16" s="18" t="s">
        <v>112</v>
      </c>
    </row>
    <row r="18" ht="20" customHeight="1">
      <c r="A18" s="19" t="inlineStr">
        <is>
          <t xml:space="preserve">Profile Scaling Notes</t>
        </is>
      </c>
    </row>
    <row r="19" ht="30" customHeight="1">
      <c r="A19" s="20" t="inlineStr">
        <is>
          <t xml:space="preserve">What minimum-viable upkeep looks like at each PSAP size. Keep all three rows while this ships as a template; once adopted, keep the one that fits.</t>
        </is>
      </c>
    </row>
    <row r="20">
      <c r="A20" s="19" t="inlineStr">
        <is>
          <t xml:space="preserve">PSAP Profile</t>
        </is>
      </c>
      <c r="B20" s="19" t="inlineStr">
        <is>
          <t xml:space="preserve">Minimum-viable implementation</t>
        </is>
      </c>
    </row>
    <row r="21" ht="42" customHeight="1">
      <c r="A21" s="21" t="inlineStr">
        <is>
          <t xml:space="preserve">Small (1–5, no in-house IT)</t>
        </is>
      </c>
      <c r="B21" s="22" t="inlineStr">
        <is>
          <t xml:space="preserve">Maintain this by hand. One person, usually the director, keeps it current on the review cycle in the header block.</t>
        </is>
      </c>
    </row>
    <row r="22" ht="42" customHeight="1">
      <c r="A22" s="21" t="inlineStr">
        <is>
          <t xml:space="preserve">Medium (6–25, shared county IT)</t>
        </is>
      </c>
      <c r="B22" s="22" t="inlineStr">
        <is>
          <t xml:space="preserve">A named coordinator owns it, updates it on a set cadence, and reconciles it at each periodic review.</t>
        </is>
      </c>
    </row>
    <row r="23" ht="42" customHeight="1">
      <c r="A23" s="21" t="inlineStr">
        <is>
          <t xml:space="preserve">Large (25+, dedicated IT/security)</t>
        </is>
      </c>
      <c r="B23" s="22" t="inlineStr">
        <is>
          <t xml:space="preserve">Where a system of record exists (asset, identity, badge, or finance system), populate it from there on a schedule and treat this sheet as the reviewed record.</t>
        </is>
      </c>
    </row>
  </sheetData>
  <mergeCells count="9">
    <mergeCell ref="A1:D1"/>
    <mergeCell ref="A2:D2"/>
    <mergeCell ref="A3:D3"/>
    <mergeCell ref="A18:D18"/>
    <mergeCell ref="A19:D19"/>
    <mergeCell ref="B20:D20"/>
    <mergeCell ref="B21:D21"/>
    <mergeCell ref="B22:D22"/>
    <mergeCell ref="B23:D23"/>
  </mergeCell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2026-06-04T13:36:25Z</dcterms:created>
  <dc:creator>911 Authority in partnership with IN911</dc:creator>
  <dc:description/>
  <dc:language>en-US</dc:language>
  <cp:lastModifiedBy/>
  <dcterms:modified xsi:type="dcterms:W3CDTF">2026-06-04T16:29:34Z</dcterms:modified>
  <cp:revision>0</cp:revision>
  <dc:subject/>
  <dc:title>Risk Register - FORM</dc:title>
</cp:coreProperties>
</file>

<file path=docProps/custom.xml><?xml version="1.0" encoding="utf-8"?>
<Properties xmlns="http://schemas.openxmlformats.org/officeDocument/2006/custom-properties" xmlns:vt="http://schemas.openxmlformats.org/officeDocument/2006/docPropsVTypes"/>
</file>
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egister" sheetId="1" r:id="rId1"/>
    <sheet name="Column Instructions"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General"/>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dimension ref="A1:K47"/>
  <sheetViews>
    <sheetView workbookViewId="0" rightToLeft="0"/>
  </sheetViews>
  <cols>
    <col min="1" max="1" customWidth="1" width="10" level="0" outlineLevel="0"/>
    <col min="2" max="2" customWidth="1" width="30" level="0" outlineLevel="0"/>
    <col min="3" max="3" customWidth="1" width="18" level="0" outlineLevel="0"/>
    <col min="4" max="4" customWidth="1" width="14" level="0" outlineLevel="0"/>
    <col min="5" max="5" customWidth="1" width="12" level="0" outlineLevel="0"/>
    <col min="6" max="6" customWidth="1" width="14" level="0" outlineLevel="0"/>
    <col min="7" max="7" customWidth="1" width="26" level="0" outlineLevel="0"/>
    <col min="8" max="8" customWidth="1" width="20" level="0" outlineLevel="0"/>
    <col min="9" max="9" customWidth="1" width="14" level="0" outlineLevel="0"/>
    <col min="10" max="10" customWidth="1" width="16" level="0" outlineLevel="0"/>
    <col min="11" max="11" customWidth="1" width="26" level="0" outlineLevel="0"/>
  </cols>
  <sheetData>
    <row r="1" ht="25.5" customHeight="1">
      <c r="A1" s="1" t="str">
        <v>Risk Register</v>
      </c>
      <c r="B1" s="1"/>
      <c r="C1" s="1"/>
      <c r="D1" s="1"/>
      <c r="E1" s="1"/>
      <c r="F1" s="1"/>
      <c r="G1" s="1"/>
      <c r="H1" s="1"/>
      <c r="I1" s="1"/>
      <c r="J1" s="1"/>
      <c r="K1" s="1"/>
    </row>
    <row r="3" ht="30" customHeight="1">
      <c r="A3" s="1" t="str">
        <v>Authority</v>
      </c>
      <c r="B3" s="1"/>
      <c r="C3" s="1" t="str">
        <v>Adopted by {agencyName} under the authority of {signingOfficialTitle}.</v>
      </c>
      <c r="D3" s="1"/>
      <c r="E3" s="1"/>
      <c r="F3" s="1"/>
      <c r="G3" s="1"/>
      <c r="H3" s="1"/>
      <c r="I3" s="1"/>
      <c r="J3" s="1"/>
      <c r="K3" s="1"/>
    </row>
    <row r="4" ht="30" customHeight="1">
      <c r="A4" s="1" t="str">
        <v>Owner</v>
      </c>
      <c r="B4" s="1"/>
      <c r="C4" s="1" t="str">
        <v>[Role title]   « use a role, not a person’s name »</v>
      </c>
      <c r="D4" s="1"/>
      <c r="E4" s="1"/>
      <c r="F4" s="1"/>
      <c r="G4" s="1"/>
      <c r="H4" s="1"/>
      <c r="I4" s="1"/>
      <c r="J4" s="1"/>
      <c r="K4" s="1"/>
    </row>
    <row r="5" ht="30" customHeight="1">
      <c r="A5" s="1" t="str">
        <v>Version / Dates</v>
      </c>
      <c r="B5" s="1"/>
      <c r="C5" s="1" t="str">
        <v>Version {version}      Effective Date {effectiveDate}      Next Review {effectiveDate}</v>
      </c>
      <c r="D5" s="1"/>
      <c r="E5" s="1"/>
      <c r="F5" s="1"/>
      <c r="G5" s="1"/>
      <c r="H5" s="1"/>
      <c r="I5" s="1"/>
      <c r="J5" s="1"/>
      <c r="K5" s="1"/>
    </row>
    <row r="6" ht="30" customHeight="1">
      <c r="A6" s="1" t="str">
        <v>Classification</v>
      </c>
      <c r="B6" s="1"/>
      <c r="C6" s="1" t="str">
        <v>Restricted   « Minimum for this register. A populated risk register exposes weaknesses; do not lower it. »</v>
      </c>
      <c r="D6" s="1"/>
      <c r="E6" s="1"/>
      <c r="F6" s="1"/>
      <c r="G6" s="1"/>
      <c r="H6" s="1"/>
      <c r="I6" s="1"/>
      <c r="J6" s="1"/>
      <c r="K6" s="1"/>
    </row>
    <row r="7" ht="30" customHeight="1">
      <c r="A7" s="1" t="str">
        <v>Review cadence</v>
      </c>
      <c r="B7" s="1"/>
      <c r="C7" s="1" t="str">
        <v>Reviewed at least [quarterly] by the {ownerRole}; the register grows through all program phases.</v>
      </c>
      <c r="D7" s="1"/>
      <c r="E7" s="1"/>
      <c r="F7" s="1"/>
      <c r="G7" s="1"/>
      <c r="H7" s="1"/>
      <c r="I7" s="1"/>
      <c r="J7" s="1"/>
      <c r="K7" s="1"/>
    </row>
    <row r="9" ht="15" customHeight="1">
      <c r="A9" s="1" t="str">
        <v>Risk Register Entries</v>
      </c>
      <c r="B9" s="1"/>
      <c r="C9" s="1"/>
      <c r="D9" s="1"/>
      <c r="E9" s="1"/>
      <c r="F9" s="1"/>
      <c r="G9" s="1"/>
      <c r="H9" s="1"/>
      <c r="I9" s="1"/>
      <c r="J9" s="1"/>
      <c r="K9" s="1"/>
    </row>
    <row r="10" ht="27.75" customHeight="1">
      <c r="A10" s="1" t="str">
        <v>« One row per identified risk. Likelihood, impact, and rating follow the Risk Management Methodology Standard. Set Status from the dropdown. »</v>
      </c>
      <c r="B10" s="1"/>
      <c r="C10" s="1"/>
      <c r="D10" s="1"/>
      <c r="E10" s="1"/>
      <c r="F10" s="1"/>
      <c r="G10" s="1"/>
      <c r="H10" s="1"/>
      <c r="I10" s="1"/>
      <c r="J10" s="1"/>
      <c r="K10" s="1"/>
    </row>
    <row r="11" ht="39.75" customHeight="1">
      <c r="A11" s="1" t="str">
        <v>Risk ID</v>
      </c>
      <c r="B11" s="1" t="str">
        <v>Risk Description</v>
      </c>
      <c r="C11" s="1" t="str">
        <v>Source / Category</v>
      </c>
      <c r="D11" s="1" t="str">
        <v>Likelihood</v>
      </c>
      <c r="E11" s="1" t="str">
        <v>Impact</v>
      </c>
      <c r="F11" s="1" t="str">
        <v>Risk Rating</v>
      </c>
      <c r="G11" s="1" t="str">
        <v>Treatment Decision</v>
      </c>
      <c r="H11" s="1" t="str">
        <v>Risk Owner (Role)</v>
      </c>
      <c r="I11" s="1" t="str">
        <v>Status</v>
      </c>
      <c r="J11" s="1" t="str">
        <v>Review Date</v>
      </c>
      <c r="K11" s="1" t="str">
        <v>Cross-Ref (POA&amp;M / Treatment Log)</v>
      </c>
    </row>
    <row r="12" ht="27.75" customHeight="1">
      <c r="A12" s="1" t="str">
        <v>RISK-001</v>
      </c>
      <c r="B12" s="1" t="str">
        <v>[Single upstream carrier creates a 911 call-delivery single point of failure]</v>
      </c>
      <c r="C12" s="1" t="str">
        <v>[Continuity]</v>
      </c>
      <c r="D12" s="1" t="str">
        <v>[L per methodology]</v>
      </c>
      <c r="E12" s="1" t="str">
        <v>[I per methodology]</v>
      </c>
      <c r="F12" s="1" t="str">
        <v>[Rating per methodology]</v>
      </c>
      <c r="G12" s="1" t="str">
        <v>[Treat: pursue diverse routing]</v>
      </c>
      <c r="H12" s="1" t="str">
        <v>{directorName}</v>
      </c>
      <c r="I12" s="1" t="str">
        <v>Open</v>
      </c>
      <c r="J12" s="1" t="str">
        <v>[YYYY-MM-DD]</v>
      </c>
      <c r="K12" s="1" t="str">
        <v>[POA&amp;M ref]</v>
      </c>
    </row>
    <row r="13" ht="27.75" customHeight="1">
      <c r="A13" s="1" t="str">
        <v>RISK-002</v>
      </c>
      <c r="B13" s="1" t="str">
        <v>[Unpatched legacy workstation on the dispatch network]</v>
      </c>
      <c r="C13" s="1" t="str">
        <v>[Technical / vulnerability]</v>
      </c>
      <c r="D13" s="1" t="str">
        <v>[L]</v>
      </c>
      <c r="E13" s="1" t="str">
        <v>[I]</v>
      </c>
      <c r="F13" s="1" t="str">
        <v>[Rating]</v>
      </c>
      <c r="G13" s="1" t="str">
        <v>[Treat: isolate and replace]</v>
      </c>
      <c r="H13" s="1" t="str">
        <v>[IT support lead]</v>
      </c>
      <c r="I13" s="1" t="str">
        <v>Treating</v>
      </c>
      <c r="J13" s="1" t="str">
        <v>[YYYY-MM-DD]</v>
      </c>
      <c r="K13" s="1" t="str">
        <v>[POA&amp;M-014]</v>
      </c>
    </row>
    <row r="14" ht="27.75" customHeight="1">
      <c r="A14" s="1" t="str">
        <v>RISK-003</v>
      </c>
      <c r="B14" s="1" t="str">
        <v>[Vendor remote access without MFA]</v>
      </c>
      <c r="C14" s="1" t="str">
        <v>[Third-party]</v>
      </c>
      <c r="D14" s="1" t="str">
        <v>[L]</v>
      </c>
      <c r="E14" s="1" t="str">
        <v>[I]</v>
      </c>
      <c r="F14" s="1" t="str">
        <v>[Rating]</v>
      </c>
      <c r="G14" s="1" t="str">
        <v>[Treat: require MFA in SLA]</v>
      </c>
      <c r="H14" s="1" t="str">
        <v>[Vendor manager]</v>
      </c>
      <c r="I14" s="1" t="str">
        <v>Open</v>
      </c>
      <c r="J14" s="1" t="str">
        <v>[YYYY-MM-DD]</v>
      </c>
      <c r="K14" s="1" t="str">
        <v>[POA&amp;M ref]</v>
      </c>
    </row>
    <row r="15" ht="27.75" customHeight="1">
      <c r="A15" s="1" t="str">
        <v>[Add risks as identified]</v>
      </c>
      <c r="B15" s="1" t="str">
        <v>[Risk description]</v>
      </c>
      <c r="C15" s="1" t="str">
        <v>[Category]</v>
      </c>
      <c r="D15" s="1" t="str">
        <v>[L]</v>
      </c>
      <c r="E15" s="1" t="str">
        <v>[I]</v>
      </c>
      <c r="F15" s="1" t="str">
        <v>[Rating]</v>
      </c>
      <c r="G15" s="1" t="str">
        <v>[Treatment decision]</v>
      </c>
      <c r="H15" s="1" t="str">
        <v>{reviewerRole}</v>
      </c>
      <c r="I15" s="1" t="str">
        <v>Open</v>
      </c>
      <c r="J15" s="1" t="str">
        <v>[YYYY-MM-DD]</v>
      </c>
      <c r="K15" s="1" t="str">
        <v>[Reference]</v>
      </c>
    </row>
    <row r="17" ht="15" customHeight="1">
      <c r="A17" s="1" t="str">
        <v>Summary</v>
      </c>
      <c r="B17" s="1"/>
      <c r="C17" s="1"/>
      <c r="D17" s="1"/>
      <c r="E17" s="1"/>
      <c r="F17" s="1"/>
      <c r="G17" s="1"/>
      <c r="H17" s="1"/>
      <c r="I17" s="1"/>
      <c r="J17" s="1"/>
      <c r="K17" s="1"/>
    </row>
    <row r="18" ht="15" customHeight="1">
      <c r="A18" s="1" t="str">
        <v>Total risks</v>
      </c>
      <c r="C18" s="1">
        <f>COUNTA(A12:A15)</f>
        <v>4</v>
      </c>
    </row>
    <row r="19" ht="15" customHeight="1">
      <c r="A19" s="1" t="str">
        <v>Open</v>
      </c>
      <c r="C19" s="1">
        <f>COUNTIF(I12:I15,"Open")</f>
        <v>3</v>
      </c>
    </row>
    <row r="20" ht="15" customHeight="1">
      <c r="A20" s="1" t="str">
        <v>Treating</v>
      </c>
      <c r="C20" s="1">
        <f>COUNTIF(I12:I15,"Treating")</f>
        <v>1</v>
      </c>
    </row>
    <row r="21" ht="15" customHeight="1">
      <c r="A21" s="1" t="str">
        <v>Accepted</v>
      </c>
      <c r="C21" s="1">
        <f>COUNTIF(I12:I15,"Accepted")</f>
        <v>0</v>
      </c>
    </row>
    <row r="22" ht="15" customHeight="1">
      <c r="A22" s="1" t="str">
        <v>Closed</v>
      </c>
      <c r="C22" s="1">
        <f>COUNTIF(I12:I15,"Closed")</f>
        <v>0</v>
      </c>
    </row>
    <row r="23" ht="15" customHeight="1">
      <c r="A23" s="1" t="str">
        <v>Past due for review</v>
      </c>
      <c r="C23" s="1">
        <f>COUNTIF(J12:J15,"&lt;"&amp;TODAY())</f>
        <v>0</v>
      </c>
    </row>
    <row r="25" ht="15" customHeight="1">
      <c r="A25" s="1" t="str">
        <v>Scope &amp; Boundary</v>
      </c>
      <c r="B25" s="1"/>
      <c r="C25" s="1"/>
      <c r="D25" s="1"/>
      <c r="E25" s="1"/>
      <c r="F25" s="1"/>
      <c r="G25" s="1"/>
      <c r="H25" s="1"/>
      <c r="I25" s="1"/>
      <c r="J25" s="1"/>
      <c r="K25" s="1"/>
    </row>
    <row r="26" ht="60" customHeight="1">
      <c r="A26" s="1" t="str">
        <v>This register holds enterprise and strategic risks. Assessment findings tracked to closure are recorded in the Risk / Finding Register (POA&amp;M); current treatment state is maintained in the Risk Treatment / Acceptance Decisions Log. Reference those documents; do not restate their contents here.</v>
      </c>
      <c r="B26" s="1"/>
      <c r="C26" s="1"/>
      <c r="D26" s="1"/>
      <c r="E26" s="1"/>
      <c r="F26" s="1"/>
      <c r="G26" s="1"/>
      <c r="H26" s="1"/>
      <c r="I26" s="1"/>
      <c r="J26" s="1"/>
      <c r="K26" s="1"/>
    </row>
    <row r="27" ht="45" customHeight="1">
      <c r="A27" s="1" t="str">
        <v>Likelihood, impact, and rating are scored using the scale defined in the Risk Management Methodology Standard. Use that document’s definitions so ratings stay comparable across entries.</v>
      </c>
      <c r="B27" s="1"/>
      <c r="C27" s="1"/>
      <c r="D27" s="1"/>
      <c r="E27" s="1"/>
      <c r="F27" s="1"/>
      <c r="G27" s="1"/>
      <c r="H27" s="1"/>
      <c r="I27" s="1"/>
      <c r="J27" s="1"/>
      <c r="K27" s="1"/>
    </row>
    <row r="29" ht="15" customHeight="1">
      <c r="A29" s="1" t="str">
        <v>Downstream Use</v>
      </c>
      <c r="B29" s="1"/>
      <c r="C29" s="1"/>
      <c r="D29" s="1"/>
      <c r="E29" s="1"/>
      <c r="F29" s="1"/>
      <c r="G29" s="1"/>
      <c r="H29" s="1"/>
      <c r="I29" s="1"/>
      <c r="J29" s="1"/>
      <c r="K29" s="1"/>
    </row>
    <row r="30" ht="45" customHeight="1">
      <c r="A30" s="1" t="str">
        <v>This register is the parent risk record. The Risk / Finding Register (POA&amp;M) feeds findings into it, and the Board / Leadership Security Reporting Template rolls it up for leadership.</v>
      </c>
      <c r="B30" s="1"/>
      <c r="C30" s="1"/>
      <c r="D30" s="1"/>
      <c r="E30" s="1"/>
      <c r="F30" s="1"/>
      <c r="G30" s="1"/>
      <c r="H30" s="1"/>
      <c r="I30" s="1"/>
      <c r="J30" s="1"/>
      <c r="K30" s="1"/>
    </row>
    <row r="32" ht="15" customHeight="1">
      <c r="A32" s="1" t="str">
        <v>Source Authority</v>
      </c>
      <c r="B32" s="1"/>
      <c r="C32" s="1"/>
      <c r="D32" s="1"/>
      <c r="E32" s="1"/>
      <c r="F32" s="1"/>
      <c r="G32" s="1"/>
      <c r="H32" s="1"/>
      <c r="I32" s="1"/>
      <c r="J32" s="1"/>
      <c r="K32" s="1"/>
    </row>
    <row r="33" ht="15" customHeight="1">
      <c r="A33" s="1" t="str">
        <v>« List only the authorities that map to this artifact. Group by authority; order numerically. No padding. »</v>
      </c>
      <c r="B33" s="1"/>
      <c r="C33" s="1"/>
      <c r="D33" s="1"/>
      <c r="E33" s="1"/>
      <c r="F33" s="1"/>
      <c r="G33" s="1"/>
      <c r="H33" s="1"/>
      <c r="I33" s="1"/>
      <c r="J33" s="1"/>
      <c r="K33" s="1"/>
    </row>
    <row r="34" ht="15" customHeight="1">
      <c r="A34" s="1" t="str">
        <v>NENA-STA-040.2-2024: §4.3, §4.3.1</v>
      </c>
      <c r="B34" s="1"/>
      <c r="C34" s="1"/>
      <c r="D34" s="1"/>
      <c r="E34" s="1"/>
      <c r="F34" s="1"/>
      <c r="G34" s="1"/>
      <c r="H34" s="1"/>
      <c r="I34" s="1"/>
      <c r="J34" s="1"/>
      <c r="K34" s="1"/>
    </row>
    <row r="35" ht="15" customHeight="1">
      <c r="A35" s="1" t="str">
        <v>NIST SP 800-53 Rev. 5: CA-5, PM-9, RA-3, RA-7</v>
      </c>
      <c r="B35" s="1"/>
      <c r="C35" s="1"/>
      <c r="D35" s="1"/>
      <c r="E35" s="1"/>
      <c r="F35" s="1"/>
      <c r="G35" s="1"/>
      <c r="H35" s="1"/>
      <c r="I35" s="1"/>
      <c r="J35" s="1"/>
      <c r="K35" s="1"/>
    </row>
    <row r="36" ht="15" customHeight="1">
      <c r="A36" s="1" t="str">
        <v>Indiana statutes and administrative code: [if applicable]</v>
      </c>
      <c r="B36" s="1"/>
      <c r="C36" s="1"/>
      <c r="D36" s="1"/>
      <c r="E36" s="1"/>
      <c r="F36" s="1"/>
      <c r="G36" s="1"/>
      <c r="H36" s="1"/>
      <c r="I36" s="1"/>
      <c r="J36" s="1"/>
      <c r="K36" s="1"/>
    </row>
    <row r="38" ht="15" customHeight="1">
      <c r="A38" s="1" t="str">
        <v>Approval Signatures</v>
      </c>
      <c r="B38" s="1"/>
      <c r="C38" s="1"/>
      <c r="D38" s="1"/>
      <c r="E38" s="1"/>
      <c r="F38" s="1"/>
      <c r="G38" s="1"/>
      <c r="H38" s="1"/>
      <c r="I38" s="1"/>
      <c r="J38" s="1"/>
      <c r="K38" s="1"/>
    </row>
    <row r="39" ht="15" customHeight="1">
      <c r="A39" s="1" t="str">
        <v>Role</v>
      </c>
      <c r="B39" s="1" t="str">
        <v>Name</v>
      </c>
      <c r="C39" s="1" t="str">
        <v>Signature</v>
      </c>
      <c r="D39" s="1" t="str">
        <v>Date</v>
      </c>
    </row>
    <row r="40" ht="25.5" customHeight="1">
      <c r="A40" s="1" t="str">
        <v>{approvingOfficialTitle}</v>
      </c>
      <c r="B40" s="1"/>
      <c r="C40" s="1"/>
      <c r="D40" s="1"/>
    </row>
    <row r="41" ht="25.5" customHeight="1">
      <c r="A41" s="1" t="str">
        <v>{ownerRole}</v>
      </c>
      <c r="B41" s="1"/>
      <c r="C41" s="1"/>
      <c r="D41" s="1"/>
    </row>
    <row r="43" ht="15" customHeight="1">
      <c r="A43" s="1" t="str">
        <v>Revision History</v>
      </c>
      <c r="B43" s="1"/>
      <c r="C43" s="1"/>
      <c r="D43" s="1"/>
      <c r="E43" s="1"/>
      <c r="F43" s="1"/>
      <c r="G43" s="1"/>
      <c r="H43" s="1"/>
      <c r="I43" s="1"/>
      <c r="J43" s="1"/>
      <c r="K43" s="1"/>
    </row>
    <row r="44" ht="15" customHeight="1">
      <c r="A44" s="1" t="str">
        <v>Version</v>
      </c>
      <c r="B44" s="1" t="str">
        <v>Date</v>
      </c>
      <c r="C44" s="1" t="str">
        <v>Author</v>
      </c>
      <c r="D44" s="1" t="str">
        <v>Summary of Change</v>
      </c>
    </row>
    <row r="45" ht="15" customHeight="1">
      <c r="A45" s="1" t="str">
        <v>{version}</v>
      </c>
      <c r="B45" s="1" t="str">
        <v>{effectiveDate}</v>
      </c>
      <c r="C45" s="1" t="str">
        <v>{reviewerRole}</v>
      </c>
      <c r="D45" s="1" t="str">
        <v>{revisionNote}</v>
      </c>
    </row>
    <row r="47" ht="60" customHeight="1">
      <c r="A47" s="1" t="str">
        <v>Drafter’s note (internal, delete before publishing): Likelihood, impact, and rating scales are defined in the Risk Management Methodology Standard and are not restated here. Indiana statutory citation left open pending confirmation that a specific statute governs enterprise risk recording.</v>
      </c>
      <c r="B47" s="1"/>
      <c r="C47" s="1"/>
      <c r="D47" s="1"/>
      <c r="E47" s="1"/>
      <c r="F47" s="1"/>
      <c r="G47" s="1"/>
      <c r="H47" s="1"/>
      <c r="I47" s="1"/>
      <c r="J47" s="1"/>
      <c r="K47" s="1"/>
    </row>
  </sheetData>
  <mergeCells count="27">
    <mergeCell ref="A1:K1"/>
    <mergeCell ref="A3:B3"/>
    <mergeCell ref="C3:K3"/>
    <mergeCell ref="A4:B4"/>
    <mergeCell ref="C4:K4"/>
    <mergeCell ref="A5:B5"/>
    <mergeCell ref="C5:K5"/>
    <mergeCell ref="A6:B6"/>
    <mergeCell ref="C6:K6"/>
    <mergeCell ref="A7:B7"/>
    <mergeCell ref="C7:K7"/>
    <mergeCell ref="A9:K9"/>
    <mergeCell ref="A10:K10"/>
    <mergeCell ref="A17:K17"/>
    <mergeCell ref="A25:K25"/>
    <mergeCell ref="A26:K26"/>
    <mergeCell ref="A27:K27"/>
    <mergeCell ref="A29:K29"/>
    <mergeCell ref="A30:K30"/>
    <mergeCell ref="A32:K32"/>
    <mergeCell ref="A33:K33"/>
    <mergeCell ref="A34:K34"/>
    <mergeCell ref="A35:K35"/>
    <mergeCell ref="A36:K36"/>
    <mergeCell ref="A38:K38"/>
    <mergeCell ref="A43:K43"/>
    <mergeCell ref="A47:K47"/>
  </mergeCells>
  <pageMargins left="0.75" right="0.75" top="1" bottom="1" header="0.511811023622047" footer="0.511811023622047"/>
  <ignoredErrors>
    <ignoredError numberStoredAsText="1" sqref="A1:K47"/>
  </ignoredErrors>
</worksheet>
</file>

<file path=xl/worksheets/sheet2.xml><?xml version="1.0" encoding="utf-8"?>
<worksheet xmlns="http://schemas.openxmlformats.org/spreadsheetml/2006/main" xmlns:r="http://schemas.openxmlformats.org/officeDocument/2006/relationships">
  <dimension ref="A1:D16"/>
  <sheetViews>
    <sheetView workbookViewId="0" rightToLeft="0"/>
  </sheetViews>
  <cols>
    <col min="1" max="1" customWidth="1" width="26" level="0" outlineLevel="0"/>
    <col min="2" max="2" customWidth="1" width="60" level="0" outlineLevel="0"/>
    <col min="3" max="3" customWidth="1" width="12" level="0" outlineLevel="0"/>
    <col min="4" max="4" customWidth="1" width="34" level="0" outlineLevel="0"/>
  </cols>
  <sheetData>
    <row r="1" ht="17.25" customHeight="1">
      <c r="A1" s="1" t="str">
        <v>Column Instructions &amp; How to Use</v>
      </c>
      <c r="B1" s="1"/>
      <c r="C1" s="1"/>
      <c r="D1" s="1"/>
    </row>
    <row r="2" ht="43.5" customHeight="1">
      <c r="A2" s="1" t="str">
        <v>How to use: this is the live ledger of identified risks. Fill the header block, then one row per risk, scored against the Risk Management Methodology Standard. The Summary counts risks by status and flags overdue reviews.</v>
      </c>
      <c r="B2" s="1"/>
      <c r="C2" s="1"/>
      <c r="D2" s="1"/>
    </row>
    <row r="3" ht="30" customHeight="1">
      <c r="A3" s="1" t="str">
        <v>Placeholder key:  [BRACKETED] = fill in   ·   « » = guidance to delete.  Classification is a minimum; an adopting agency may raise it but not lower it.</v>
      </c>
      <c r="B3" s="1"/>
      <c r="C3" s="1"/>
      <c r="D3" s="1"/>
    </row>
    <row r="5" ht="15" customHeight="1">
      <c r="A5" s="1" t="str">
        <v>Column</v>
      </c>
      <c r="B5" s="1" t="str">
        <v>What it holds</v>
      </c>
      <c r="C5" s="1" t="str">
        <v>Required?</v>
      </c>
      <c r="D5" s="1" t="str">
        <v>Example value</v>
      </c>
    </row>
    <row r="6" ht="30" customHeight="1">
      <c r="A6" s="1" t="str">
        <v>Risk ID</v>
      </c>
      <c r="B6" s="1" t="str">
        <v>Stable, unique identifier for the risk. Does not change once assigned.</v>
      </c>
      <c r="C6" s="1" t="str">
        <v>Required</v>
      </c>
      <c r="D6" s="1" t="str">
        <v>RISK-014</v>
      </c>
    </row>
    <row r="7" ht="30" customHeight="1">
      <c r="A7" s="1" t="str">
        <v>Risk Description</v>
      </c>
      <c r="B7" s="1" t="str">
        <v>What the risk is, stated plainly enough to picture.</v>
      </c>
      <c r="C7" s="1" t="str">
        <v>Required</v>
      </c>
      <c r="D7" s="1" t="str">
        <v>Single upstream carrier</v>
      </c>
    </row>
    <row r="8" ht="30" customHeight="1">
      <c r="A8" s="1" t="str">
        <v>Source / Category</v>
      </c>
      <c r="B8" s="1" t="str">
        <v>Where the risk comes from or its type.</v>
      </c>
      <c r="C8" s="1" t="str">
        <v>Required</v>
      </c>
      <c r="D8" s="1" t="str">
        <v>Continuity</v>
      </c>
    </row>
    <row r="9" ht="30" customHeight="1">
      <c r="A9" s="1" t="str">
        <v>Likelihood</v>
      </c>
      <c r="B9" s="1" t="str">
        <v>Scored per the Risk Management Methodology Standard.</v>
      </c>
      <c r="C9" s="1" t="str">
        <v>Required</v>
      </c>
      <c r="D9" s="1" t="str">
        <v>[per methodology]</v>
      </c>
    </row>
    <row r="10" ht="30" customHeight="1">
      <c r="A10" s="1" t="str">
        <v>Impact</v>
      </c>
      <c r="B10" s="1" t="str">
        <v>Scored per the Risk Management Methodology Standard.</v>
      </c>
      <c r="C10" s="1" t="str">
        <v>Required</v>
      </c>
      <c r="D10" s="1" t="str">
        <v>[per methodology]</v>
      </c>
    </row>
    <row r="11" ht="30" customHeight="1">
      <c r="A11" s="1" t="str">
        <v>Risk Rating</v>
      </c>
      <c r="B11" s="1" t="str">
        <v>Derived from likelihood and impact per the methodology.</v>
      </c>
      <c r="C11" s="1" t="str">
        <v>Required</v>
      </c>
      <c r="D11" s="1" t="str">
        <v>[per methodology]</v>
      </c>
    </row>
    <row r="12" ht="30" customHeight="1">
      <c r="A12" s="1" t="str">
        <v>Treatment Decision</v>
      </c>
      <c r="B12" s="1" t="str">
        <v>Treat, accept, transfer, or avoid, with the chosen action.</v>
      </c>
      <c r="C12" s="1" t="str">
        <v>Required</v>
      </c>
      <c r="D12" s="1" t="str">
        <v>Treat: diverse routing</v>
      </c>
    </row>
    <row r="13" ht="30" customHeight="1">
      <c r="A13" s="1" t="str">
        <v>Risk Owner (Role)</v>
      </c>
      <c r="B13" s="1" t="str">
        <v>Role accountable for the risk. A role, never a person’s name.</v>
      </c>
      <c r="C13" s="1" t="str">
        <v>Required</v>
      </c>
      <c r="D13" s="1" t="str">
        <v>Director / Coordinator</v>
      </c>
    </row>
    <row r="14" ht="30" customHeight="1">
      <c r="A14" s="1" t="str">
        <v>Status</v>
      </c>
      <c r="B14" s="1" t="str">
        <v>Dropdown: Open, Treating, Accepted, Transferred, Closed.</v>
      </c>
      <c r="C14" s="1" t="str">
        <v>Required</v>
      </c>
      <c r="D14" s="1" t="str">
        <v>Open</v>
      </c>
    </row>
    <row r="15" ht="30" customHeight="1">
      <c r="A15" s="1" t="str">
        <v>Review Date</v>
      </c>
      <c r="B15" s="1" t="str">
        <v>Date the risk is next reviewed. Drives the past-due count.</v>
      </c>
      <c r="C15" s="1" t="str">
        <v>Required</v>
      </c>
      <c r="D15" s="1" t="str">
        <v>2026-09-01</v>
      </c>
    </row>
    <row r="16" ht="30" customHeight="1">
      <c r="A16" s="1" t="str">
        <v>Cross-Ref (POA&amp;M / Treatment Log)</v>
      </c>
      <c r="B16" s="1" t="str">
        <v>Pointer to the related finding or treatment decision. Do not restate it.</v>
      </c>
      <c r="C16" s="1" t="str">
        <v>Optional</v>
      </c>
      <c r="D16" s="1" t="str">
        <v>POA&amp;M-014</v>
      </c>
    </row>
  </sheetData>
  <mergeCells count="3">
    <mergeCell ref="A1:D1"/>
    <mergeCell ref="A2:D2"/>
    <mergeCell ref="A3:D3"/>
  </mergeCells>
  <pageMargins left="0.75" right="0.75" top="1" bottom="1" header="0.511811023622047" footer="0.511811023622047"/>
  <ignoredErrors>
    <ignoredError numberStoredAsText="1" sqref="A1:D16"/>
  </ignoredErrors>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Register</vt:lpstr>
      <vt:lpstr>Column 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terms:modified xsi:type="dcterms:W3CDTF">2026-06-04T16:29:34Z</dcterms:modified>
  <cp:revision>0</cp:revision>
  <dc:creator>openpyxl</dc:creator>
  <dc:language>en-US</dc:language>
</cp:coreProperties>
</file>
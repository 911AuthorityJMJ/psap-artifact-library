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Certificate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[Role title]   « use a role, not a person’s name »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   « Minimum for this artifact: a certificate list maps systems and expiry windows. Your agency may raise but not lower it. »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[quarterly] by the [Owner role]; entries kept current as certificates are issued, renewed, or retired.</t>
        </is>
      </c>
      <c r="D7" s="23" t="n"/>
      <c r="E7" s="23" t="n"/>
      <c r="F7" s="23" t="n"/>
      <c r="G7" s="22" t="n"/>
    </row>
    <row r="9" ht="15" customHeight="1">
      <c r="A9" s="5" t="inlineStr">
        <is>
          <t>Register Entries</t>
        </is>
      </c>
    </row>
    <row r="10" ht="27.75" customHeight="1">
      <c r="A10" s="9" t="inlineStr">
        <is>
          <t>« One row per certificate in use. Key each to the Master Asset Inventory. Governed by the Key &amp; Certificate Management Policy. »</t>
        </is>
      </c>
    </row>
    <row r="11" ht="50.5" customHeight="1">
      <c r="A11" s="11" t="inlineStr">
        <is>
          <t>Cert ID</t>
        </is>
      </c>
      <c r="B11" s="11" t="inlineStr">
        <is>
          <t>Subject / System</t>
        </is>
      </c>
      <c r="C11" s="11" t="inlineStr">
        <is>
          <t>Issuer / CA</t>
        </is>
      </c>
      <c r="D11" s="11" t="inlineStr">
        <is>
          <t>Type (public CA / internal CA / self-signed)</t>
        </is>
      </c>
      <c r="E11" s="11" t="inlineStr">
        <is>
          <t>Issue Date</t>
        </is>
      </c>
      <c r="F11" s="11" t="inlineStr">
        <is>
          <t>Expiration Date</t>
        </is>
      </c>
      <c r="G11" s="11" t="inlineStr">
        <is>
          <t>Days to Expiry / Renewal Trigger</t>
        </is>
      </c>
      <c r="H11" s="24" t="inlineStr">
        <is>
          <t>Self-signed Exception (justification)</t>
        </is>
      </c>
      <c r="I11" s="24" t="inlineStr">
        <is>
          <t>Owner (Role)</t>
        </is>
      </c>
      <c r="J11" s="24" t="inlineStr">
        <is>
          <t>DR Availability</t>
        </is>
      </c>
    </row>
    <row r="12" ht="19.5" customHeight="1">
      <c r="A12" s="12" t="n"/>
      <c r="B12" s="12" t="n"/>
      <c r="C12" s="12" t="n"/>
      <c r="D12" s="12" t="n"/>
      <c r="E12" s="12" t="n"/>
      <c r="F12" s="12" t="n"/>
      <c r="G12" s="12" t="n"/>
      <c r="H12" s="21" t="n"/>
      <c r="I12" s="21" t="n"/>
      <c r="J12" s="21" t="n"/>
    </row>
    <row r="13" ht="19.5" customHeight="1">
      <c r="A13" s="12" t="n"/>
      <c r="B13" s="12" t="n"/>
      <c r="C13" s="12" t="n"/>
      <c r="D13" s="12" t="n"/>
      <c r="E13" s="12" t="n"/>
      <c r="F13" s="12" t="n"/>
      <c r="G13" s="12" t="n"/>
      <c r="H13" s="21" t="n"/>
      <c r="I13" s="21" t="n"/>
      <c r="J13" s="21" t="n"/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  <c r="H14" s="21" t="n"/>
      <c r="I14" s="21" t="n"/>
      <c r="J14" s="21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  <c r="H15" s="21" t="n"/>
      <c r="I15" s="21" t="n"/>
      <c r="J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certificates</t>
        </is>
      </c>
      <c r="B24" s="25" t="n"/>
      <c r="C24" s="13">
        <f>COUNTA(A12:A21)</f>
      </c>
    </row>
    <row r="25" ht="15" customHeight="1">
      <c r="A25" s="4" t="inlineStr">
        <is>
          <t>Expiring within 30 days</t>
        </is>
      </c>
      <c r="B25" s="25" t="n"/>
      <c r="C25" s="13">
        <f>COUNTIFS(F12:F21,"&gt;="&amp;TODAY(),F12:F21,"&lt;="&amp;(TODAY()+30))</f>
      </c>
    </row>
    <row r="26" ht="15" customHeight="1">
      <c r="A26" s="4" t="inlineStr">
        <is>
          <t>Expiring within 60 days</t>
        </is>
      </c>
      <c r="B26" s="25" t="n"/>
      <c r="C26" s="13">
        <f>COUNTIFS(F12:F21,"&gt;="&amp;TODAY(),F12:F21,"&lt;="&amp;(TODAY()+60))</f>
      </c>
    </row>
    <row r="27" ht="15" customHeight="1">
      <c r="A27" s="4" t="inlineStr">
        <is>
          <t>Self-signed exceptions</t>
        </is>
      </c>
      <c r="B27" s="25" t="n"/>
      <c r="C27" s="13">
        <f>COUNTIF(D12:D21,"*self-signed*")</f>
      </c>
    </row>
    <row r="28" ht="15" customHeight="1">
      <c r="A28" s="4" t="inlineStr">
        <is>
          <t>Without DR backup</t>
        </is>
      </c>
      <c r="B28" s="25" t="n"/>
      <c r="C28" s="13">
        <f>COUNTIF(J12:J21,"None")</f>
      </c>
    </row>
    <row r="29" ht="15" customHeight="1">
      <c r="A29" s="4" t="inlineStr">
        <is>
          <t>Expired / past due</t>
        </is>
      </c>
      <c r="B29" s="25" t="n"/>
      <c r="C29" s="13">
        <f>COUNTIF(F12:F21,"&lt;"&amp;TODAY())</f>
      </c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entries in this register. Group by authority; order numerically. No padding. »</t>
        </is>
      </c>
    </row>
    <row r="33" ht="15" customHeight="1">
      <c r="A33" s="3" t="inlineStr">
        <is>
          <t>NENA-STA-040.2-2024: §6.23.2, §6.23.3, §6.23.5, §6.23.8</t>
        </is>
      </c>
    </row>
    <row r="34" ht="15" customHeight="1">
      <c r="A34" s="3" t="inlineStr">
        <is>
          <t>NIST SP 800-53 Rev. 5: IA-5, SC-12, SC-17</t>
        </is>
      </c>
    </row>
    <row r="35" ht="15" customHeight="1">
      <c r="A35" s="3" t="n"/>
    </row>
    <row r="36" ht="15" customHeight="1">
      <c r="A36" s="3" t="n"/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[Approving official / title]</t>
        </is>
      </c>
      <c r="B40" s="15" t="n"/>
      <c r="C40" s="15" t="n"/>
      <c r="D40" s="15" t="n"/>
    </row>
    <row r="41" ht="34" customHeight="1">
      <c r="A41" s="12" t="inlineStr">
        <is>
          <t>[Owner role]</t>
        </is>
      </c>
      <c r="B41" s="15" t="n"/>
      <c r="C41" s="15" t="n"/>
      <c r="D41" s="15" t="n"/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[#]</t>
        </is>
      </c>
      <c r="B45" s="12" t="inlineStr">
        <is>
          <t>[Date]</t>
        </is>
      </c>
      <c r="C45" s="12" t="inlineStr">
        <is>
          <t>[Role]</t>
        </is>
      </c>
      <c r="D45" s="12" t="inlineStr">
        <is>
          <t>[Initial issue]</t>
        </is>
      </c>
      <c r="E45" s="12" t="n"/>
      <c r="F45" s="12" t="n"/>
      <c r="G45" s="12" t="n"/>
    </row>
    <row r="47" ht="66.4" customHeight="1">
      <c r="A47" s="2" t="inlineStr">
        <is>
          <t>Drafter's note (internal, delete before publishing): single-sheet certificate register keyed to the Master Asset Inventory; self-signed certs recorded as approved exceptions (col H), DR availability tracked (col J) for continuity. Governed by the Key &amp; Certificate Management Policy; renewal and revocation are carried out under the Certificate Renewal &amp; Revocation Procedures. No CJIS or Indiana citation: State-maintained IDACS cryptography is out of PSAP scope (add CJIS §5.10.1.2 and 240 IAC 5 only if the agency manages certificates that protect CJI). Agency-supplied values in brackets.</t>
        </is>
      </c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2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  <dataValidation sqref="D12:D21" showDropDown="0" showInputMessage="0" showErrorMessage="0" allowBlank="1" promptTitle="Type (public CA / internal CA / " prompt="Select a value" type="list">
      <formula1>"Public CA,Internal CA,Self-signed"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46" customWidth="1" min="2" max="2"/>
    <col width="14" customWidth="1" min="3" max="3"/>
    <col width="34" customWidth="1" min="4" max="4"/>
  </cols>
  <sheetData>
    <row r="1" ht="25.5" customHeight="1">
      <c r="A1" s="10" t="inlineStr">
        <is>
          <t>Column Instructions &amp; How to Use</t>
        </is>
      </c>
    </row>
    <row r="2" ht="161.4" customHeight="1">
      <c r="A2" s="1" t="inlineStr">
        <is>
          <t>How to use this template: fill the header block on the Register tab, replace every [BRACKETED] field, list one row per in-scope system or endpoint group, then delete every « » note before publishing.</t>
        </is>
      </c>
    </row>
    <row r="3" ht="129.7" customHeight="1">
      <c r="A3" s="1" t="inlineStr">
        <is>
          <t>Placeholder key:  [BRACKETED] = fill in   ·   « » = guidance to delete.  Classification, Source Authority, signatures and revision history live on the Register tab.</t>
        </is>
      </c>
    </row>
    <row r="5" ht="16" customHeight="1">
      <c r="A5" s="16" t="inlineStr">
        <is>
          <t>The columns in this register</t>
        </is>
      </c>
    </row>
    <row r="6" ht="24" customHeight="1">
      <c r="A6" s="11" t="inlineStr">
        <is>
          <t>Column</t>
        </is>
      </c>
      <c r="B6" s="11" t="inlineStr">
        <is>
          <t>What it holds</t>
        </is>
      </c>
      <c r="C6" s="11" t="inlineStr">
        <is>
          <t>Required?</t>
        </is>
      </c>
      <c r="D6" s="11" t="inlineStr">
        <is>
          <t>Example value</t>
        </is>
      </c>
    </row>
    <row r="7" ht="30" customHeight="1">
      <c r="A7" s="17" t="inlineStr">
        <is>
          <t>Cert ID</t>
        </is>
      </c>
      <c r="B7" s="12" t="inlineStr">
        <is>
          <t>Stable, unique identifier for the certificate row.</t>
        </is>
      </c>
      <c r="C7" s="12" t="inlineStr">
        <is>
          <t>Required</t>
        </is>
      </c>
      <c r="D7" s="12" t="inlineStr">
        <is>
          <t>CERT-014</t>
        </is>
      </c>
    </row>
    <row r="8" ht="34.7" customHeight="1">
      <c r="A8" s="17" t="inlineStr">
        <is>
          <t>Subject / System</t>
        </is>
      </c>
      <c r="B8" s="12" t="inlineStr">
        <is>
          <t>The system or service the certificate secures. Key it to the Master Asset Inventory.</t>
        </is>
      </c>
      <c r="C8" s="12" t="inlineStr">
        <is>
          <t>Required</t>
        </is>
      </c>
      <c r="D8" s="12" t="inlineStr">
        <is>
          <t>CAD web console</t>
        </is>
      </c>
    </row>
    <row r="9" ht="30" customHeight="1">
      <c r="A9" s="17" t="inlineStr">
        <is>
          <t>Issuer / CA</t>
        </is>
      </c>
      <c r="B9" s="12" t="inlineStr">
        <is>
          <t>The certificate authority that issued it.</t>
        </is>
      </c>
      <c r="C9" s="12" t="inlineStr">
        <is>
          <t>Required</t>
        </is>
      </c>
      <c r="D9" s="12" t="inlineStr">
        <is>
          <t>Internal CA</t>
        </is>
      </c>
    </row>
    <row r="10" ht="50.5" customHeight="1">
      <c r="A10" s="17" t="inlineStr">
        <is>
          <t>Type (public CA / internal CA / self-signed)</t>
        </is>
      </c>
      <c r="B10" s="12" t="inlineStr">
        <is>
          <t>Whether the certificate is from a public CA, an internal CA, or self-signed.</t>
        </is>
      </c>
      <c r="C10" s="12" t="inlineStr">
        <is>
          <t>Required</t>
        </is>
      </c>
      <c r="D10" s="12" t="inlineStr">
        <is>
          <t>Internal CA</t>
        </is>
      </c>
    </row>
    <row r="11" ht="30" customHeight="1">
      <c r="A11" s="17" t="inlineStr">
        <is>
          <t>Issue Date</t>
        </is>
      </c>
      <c r="B11" s="12" t="inlineStr">
        <is>
          <t>Date the certificate was issued.</t>
        </is>
      </c>
      <c r="C11" s="12" t="inlineStr">
        <is>
          <t>Optional</t>
        </is>
      </c>
      <c r="D11" s="26">
        <v>46037</v>
      </c>
    </row>
    <row r="12" ht="34.7" customHeight="1">
      <c r="A12" s="17" t="inlineStr">
        <is>
          <t>Expiration Date</t>
        </is>
      </c>
      <c r="B12" s="12" t="inlineStr">
        <is>
          <t>Date the certificate expires. Drives the expiry counts in Summary.</t>
        </is>
      </c>
      <c r="C12" s="12" t="inlineStr">
        <is>
          <t>Required</t>
        </is>
      </c>
      <c r="D12" s="26">
        <v>46402</v>
      </c>
    </row>
    <row r="13" ht="34.7" customHeight="1">
      <c r="A13" s="17" t="inlineStr">
        <is>
          <t>Days to Expiry / Renewal Trigger</t>
        </is>
      </c>
      <c r="B13" s="12" t="inlineStr">
        <is>
          <t>Days remaining, or the renewal-reminder threshold.</t>
        </is>
      </c>
      <c r="C13" s="12" t="inlineStr">
        <is>
          <t>Required</t>
        </is>
      </c>
      <c r="D13" s="12" t="inlineStr">
        <is>
          <t>30-day reminder</t>
        </is>
      </c>
    </row>
    <row r="14" ht="34.7" customHeight="1">
      <c r="A14" s="17" t="inlineStr">
        <is>
          <t>Self-signed Exception (justification)</t>
        </is>
      </c>
      <c r="B14" s="12" t="inlineStr">
        <is>
          <t>If self-signed, the approved reason; otherwise none.</t>
        </is>
      </c>
      <c r="C14" s="12" t="inlineStr">
        <is>
          <t>Conditional</t>
        </is>
      </c>
      <c r="D14" s="12" t="inlineStr">
        <is>
          <t>n/a</t>
        </is>
      </c>
    </row>
    <row r="15" ht="34.7" customHeight="1">
      <c r="A15" s="17" t="inlineStr">
        <is>
          <t>Owner (Role)</t>
        </is>
      </c>
      <c r="B15" s="12" t="inlineStr">
        <is>
          <t>Role accountable for the certificate. A role, not a person's name.</t>
        </is>
      </c>
      <c r="C15" s="12" t="inlineStr">
        <is>
          <t>Required</t>
        </is>
      </c>
      <c r="D15" s="12" t="inlineStr">
        <is>
          <t>IT Support Lead</t>
        </is>
      </c>
    </row>
    <row r="16" ht="34.7" customHeight="1">
      <c r="A16" s="17" t="inlineStr">
        <is>
          <t>DR Availability</t>
        </is>
      </c>
      <c r="B16" s="12" t="inlineStr">
        <is>
          <t>Where the certificate and its key are backed up so they survive a disaster-recovery event.</t>
        </is>
      </c>
      <c r="C16" s="12" t="inlineStr">
        <is>
          <t>Required</t>
        </is>
      </c>
      <c r="D16" s="12" t="inlineStr">
        <is>
          <t>Replicated to DR site</t>
        </is>
      </c>
    </row>
    <row r="17" ht="20" customHeight="1">
      <c r="A17" s="18" t="n"/>
    </row>
    <row r="18" ht="133.7" customHeight="1">
      <c r="A18" s="19" t="inlineStr">
        <is>
          <t>« Certificates from a public or internal CA are tracked to renewal; self-signed certificates are recorded as approved exceptions with a justification. Keep each private key available for DR. »</t>
        </is>
      </c>
    </row>
    <row r="19">
      <c r="A19" s="18" t="n"/>
      <c r="B19" s="18" t="n"/>
    </row>
    <row r="20" ht="42" customHeight="1">
      <c r="A20" s="18" t="inlineStr">
        <is>
          <t>Profile Scaling Notes</t>
        </is>
      </c>
      <c r="B20" s="21" t="n"/>
    </row>
    <row r="21" ht="104.6" customHeight="1">
      <c r="A21" s="19" t="inlineStr">
        <is>
          <t>What minimum-viable upkeep looks like at each PSAP size. Keep all three rows while this ships as a template; once adopted, keep the one that fits.</t>
        </is>
      </c>
      <c r="B21" s="21" t="n"/>
    </row>
    <row r="22" ht="42" customHeight="1">
      <c r="A22" s="18" t="inlineStr">
        <is>
          <t>PSAP Profile</t>
        </is>
      </c>
      <c r="B22" s="18" t="inlineStr">
        <is>
          <t>Minimum-viable implementation</t>
        </is>
      </c>
    </row>
    <row r="23" ht="66.4" customHeight="1">
      <c r="A23" s="20" t="inlineStr">
        <is>
          <t>Small (1–5, no in-house IT)</t>
        </is>
      </c>
      <c r="B23" s="21" t="inlineStr">
        <is>
          <t>Maintain by hand. List each certificate, its system, issuer, and expiry, and set a calendar reminder well before each expiration. Usually only a handful of certificates.</t>
        </is>
      </c>
    </row>
    <row r="24" ht="50.5" customHeight="1">
      <c r="A24" s="20" t="inlineStr">
        <is>
          <t>Medium (6–25, shared county IT)</t>
        </is>
      </c>
      <c r="B24" s="21" t="inlineStr">
        <is>
          <t>A named coordinator keeps the list current, reconciles it against systems on a set cadence, and tracks renewals before expiry.</t>
        </is>
      </c>
    </row>
    <row r="25" ht="66.4" customHeight="1">
      <c r="A25" s="20" t="inlineStr">
        <is>
          <t>Large (25+, dedicated IT/security)</t>
        </is>
      </c>
      <c r="B25" s="21" t="inlineStr">
        <is>
          <t>Populate from a certificate-management or discovery tool, monitor expiry automatically, and treat every self-signed certificate as a tracked exception.</t>
        </is>
      </c>
    </row>
  </sheetData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2026-07-14T15:05:58Z</dcterms:modified>
  <cp:lastModifiedBy/>
  <cp:revision>0</cp:revision>
  <dc:title xmlns:dc="http://purl.org/dc/elements/1.1/">Certificate Inventory - FORM</dc:title>
</cp:coreProperties>
</file>
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gister" sheetId="1" r:id="rId1"/>
    <sheet name="Column Instruction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7"/>
  <sheetViews>
    <sheetView workbookViewId="0" rightToLeft="0"/>
  </sheetViews>
  <cols>
    <col min="1" max="1" customWidth="1" width="13"/>
    <col min="2" max="2" customWidth="1" width="26"/>
    <col min="3" max="3" customWidth="1" width="40"/>
    <col min="4" max="4" customWidth="1" width="20"/>
    <col min="5" max="5" customWidth="1" width="16"/>
    <col min="6" max="6" customWidth="1" width="14"/>
    <col min="7" max="7" customWidth="1" width="14"/>
  </cols>
  <sheetData>
    <row r="1" ht="25.5" customHeight="1">
      <c r="A1" t="str">
        <v>Vendor &amp; Contractor Inventory</v>
      </c>
    </row>
    <row r="2" ht="15" customHeight="1">
      <c r="A2"/>
    </row>
    <row r="3" ht="15" customHeight="1">
      <c r="A3" t="str">
        <v>Authority</v>
      </c>
      <c r="B3"/>
      <c r="C3" t="str">
        <v>Adopted by {agencyName} under the authority of {signingOfficialTitle}.</v>
      </c>
      <c r="D3"/>
      <c r="E3"/>
      <c r="F3"/>
      <c r="G3"/>
    </row>
    <row r="4" ht="15" customHeight="1">
      <c r="A4" t="str">
        <v>Owner</v>
      </c>
      <c r="B4"/>
      <c r="C4" t="str">
        <v>[Role title]   « use a role, not a person’s name »</v>
      </c>
      <c r="D4"/>
      <c r="E4"/>
      <c r="F4"/>
      <c r="G4"/>
    </row>
    <row r="5" ht="15" customHeight="1">
      <c r="A5" t="str">
        <v>Version / Dates</v>
      </c>
      <c r="B5"/>
      <c r="C5" t="str">
        <v>Version {version}      Effective Date {effectiveDate}      Next Review {effectiveDate}</v>
      </c>
      <c r="D5"/>
      <c r="E5"/>
      <c r="F5"/>
      <c r="G5"/>
    </row>
    <row r="6" ht="43.5" customHeight="1">
      <c r="A6" t="str">
        <v>Classification</v>
      </c>
      <c r="B6"/>
      <c r="C6" t="str">
        <v>Restricted   « Minimum for this inventory: it maps the Agency's external attack surface. Keep contacts role-based to hold this floor; raise to Confidential if you record named individuals. Append " / CJIS" for any vendor that manages CJIS-regulated systems. »</v>
      </c>
      <c r="D6"/>
      <c r="E6"/>
      <c r="F6"/>
      <c r="G6"/>
    </row>
    <row r="7" ht="15" customHeight="1">
      <c r="A7" t="str">
        <v>Review cadence</v>
      </c>
      <c r="B7"/>
      <c r="C7" t="str">
        <v>Reviewed at least quarterly by the [role]; reconciled against active services each cycle.</v>
      </c>
      <c r="D7"/>
      <c r="E7"/>
      <c r="F7"/>
      <c r="G7"/>
    </row>
    <row r="9" ht="15" customHeight="1">
      <c r="A9" t="str">
        <v>Register Entries</v>
      </c>
    </row>
    <row r="10" ht="32" customHeight="1">
      <c r="A10" t="str">
        <v>« Add one row per item. These columns are the standard minimum every register inherits; add columns this specific register needs (e.g., make/model, version, location for an asset inventory). »</v>
      </c>
    </row>
    <row r="11" ht="50" customHeight="1">
      <c r="A11" t="str">
        <v>Vendor ID</v>
      </c>
      <c r="B11" t="str">
        <v>Vendor / Service</v>
      </c>
      <c r="C11" t="str">
        <v>Service type &amp; access scope (systems/data reached; contract or SLA ref)</v>
      </c>
      <c r="D11" t="str">
        <v>Vendor contact (role)</v>
      </c>
      <c r="E11" t="str">
        <v>Status</v>
      </c>
      <c r="F11" t="str">
        <v>Last reconciled</v>
      </c>
      <c r="G11" t="str">
        <v>Next review due</v>
      </c>
    </row>
    <row r="12" ht="19.5" customHeight="1">
      <c r="A12"/>
      <c r="B12"/>
      <c r="C12"/>
      <c r="D12"/>
      <c r="E12"/>
      <c r="F12"/>
      <c r="G12"/>
    </row>
    <row r="13" ht="19.5" customHeight="1">
      <c r="A13"/>
      <c r="B13"/>
      <c r="C13"/>
      <c r="D13"/>
      <c r="E13"/>
      <c r="F13"/>
      <c r="G13"/>
    </row>
    <row r="14" ht="19.5" customHeight="1">
      <c r="A14"/>
      <c r="B14"/>
      <c r="C14"/>
      <c r="D14"/>
      <c r="E14"/>
      <c r="F14"/>
      <c r="G14"/>
    </row>
    <row r="15" ht="19.5" customHeight="1">
      <c r="A15"/>
      <c r="B15"/>
      <c r="C15"/>
      <c r="D15"/>
      <c r="E15"/>
      <c r="F15"/>
      <c r="G15"/>
    </row>
    <row r="16" ht="19.5" customHeight="1">
      <c r="A16"/>
      <c r="B16"/>
      <c r="C16"/>
      <c r="D16"/>
      <c r="E16"/>
      <c r="F16"/>
      <c r="G16"/>
    </row>
    <row r="17" ht="19.5" customHeight="1">
      <c r="A17"/>
      <c r="B17"/>
      <c r="C17"/>
      <c r="D17"/>
      <c r="E17"/>
      <c r="F17"/>
      <c r="G17"/>
    </row>
    <row r="18" ht="19.5" customHeight="1">
      <c r="A18"/>
      <c r="B18"/>
      <c r="C18"/>
      <c r="D18"/>
      <c r="E18"/>
      <c r="F18"/>
      <c r="G18"/>
    </row>
    <row r="19" ht="19.5" customHeight="1">
      <c r="A19"/>
      <c r="B19"/>
      <c r="C19"/>
      <c r="D19"/>
      <c r="E19"/>
      <c r="F19"/>
      <c r="G19"/>
    </row>
    <row r="20" ht="19.5" customHeight="1">
      <c r="A20"/>
      <c r="B20"/>
      <c r="C20"/>
      <c r="D20"/>
      <c r="E20"/>
      <c r="F20"/>
      <c r="G20"/>
    </row>
    <row r="21" ht="19.5" customHeight="1">
      <c r="A21"/>
      <c r="B21"/>
      <c r="C21"/>
      <c r="D21"/>
      <c r="E21"/>
      <c r="F21"/>
      <c r="G21"/>
    </row>
    <row r="23" ht="15" customHeight="1">
      <c r="A23" t="str">
        <v>Summary</v>
      </c>
    </row>
    <row r="24" ht="15" customHeight="1">
      <c r="A24" t="str">
        <v>Total entries</v>
      </c>
      <c r="B24"/>
      <c r="C24">
        <f>COUNTA(A12:A21)</f>
      </c>
    </row>
    <row r="25" ht="15" customHeight="1">
      <c r="A25" t="str">
        <v>Active</v>
      </c>
      <c r="B25"/>
      <c r="C25">
        <f>COUNTIF(E12:E21,"Active")</f>
      </c>
    </row>
    <row r="26" ht="15" customHeight="1">
      <c r="A26" t="str">
        <v>Under review</v>
      </c>
      <c r="B26"/>
      <c r="C26">
        <f>COUNTIF(E12:E21,"Under Review")</f>
      </c>
    </row>
    <row r="27" ht="15" customHeight="1">
      <c r="A27" t="str">
        <v>Retired</v>
      </c>
      <c r="B27"/>
      <c r="C27">
        <f>COUNTIF(E12:E21,"Retired")</f>
      </c>
    </row>
    <row r="28" ht="15" customHeight="1">
      <c r="A28" t="str">
        <v>Decommissioned</v>
      </c>
      <c r="B28"/>
      <c r="C28">
        <f>COUNTIF(E12:E21,"Decommissioned")</f>
      </c>
    </row>
    <row r="29" ht="15" customHeight="1">
      <c r="A29" t="str">
        <v>Past due for review</v>
      </c>
      <c r="B29"/>
      <c r="C29">
        <f>COUNTIF(G12:G21,"&lt;"&amp;TODAY())</f>
      </c>
    </row>
    <row r="31" ht="15" customHeight="1">
      <c r="A31" t="str">
        <v>Source Authority</v>
      </c>
    </row>
    <row r="32" ht="15" customHeight="1">
      <c r="A32" t="str">
        <v>« List only the authorities that map to entries in this register. Group by authority; order numerically. No padding. »</v>
      </c>
    </row>
    <row r="33" ht="15" customHeight="1">
      <c r="A33" t="str">
        <v>NENA-STA-040.2-2024: §5.6, §10</v>
      </c>
    </row>
    <row r="34" ht="15" customHeight="1">
      <c r="A34" t="str">
        <v>NIST SP 800-53 Rev. 5: CA-3, SA-9, SR-6</v>
      </c>
    </row>
    <row r="35" ht="15" customHeight="1">
      <c r="A35" t="str">
        <v>Indiana statutes and administrative code: IC 36-8-16.7 (third-party connectivity using 911 funds)</v>
      </c>
    </row>
    <row r="36" ht="15" customHeight="1">
      <c r="A36" t="str">
        <v>CJIS Security Policy v5.9: §5.1 (CJIS Security Addendum: only for vendors managing CJIS-regulated systems)</v>
      </c>
    </row>
    <row r="38" ht="15" customHeight="1">
      <c r="A38" t="str">
        <v>Approval Signatures</v>
      </c>
    </row>
    <row r="39" ht="17" customHeight="1">
      <c r="A39" t="str">
        <v>Role</v>
      </c>
      <c r="B39" t="str">
        <v>Name</v>
      </c>
      <c r="C39" t="str">
        <v>Signature</v>
      </c>
      <c r="D39" t="str">
        <v>Date</v>
      </c>
      <c r="E39"/>
      <c r="F39"/>
      <c r="G39"/>
    </row>
    <row r="40" ht="46" customHeight="1">
      <c r="A40" t="str">
        <v>[Approving official (role)]</v>
      </c>
      <c r="B40"/>
      <c r="C40"/>
      <c r="D40"/>
    </row>
    <row r="41" ht="46" customHeight="1">
      <c r="A41" t="str">
        <v>[Owner (role)]</v>
      </c>
      <c r="B41"/>
      <c r="C41"/>
      <c r="D41"/>
    </row>
    <row r="43" ht="15" customHeight="1">
      <c r="A43" t="str">
        <v>Revision History</v>
      </c>
    </row>
    <row r="44" ht="30" customHeight="1">
      <c r="A44" t="str">
        <v>Version</v>
      </c>
      <c r="B44" t="str">
        <v>Date</v>
      </c>
      <c r="C44" t="str">
        <v>Author</v>
      </c>
      <c r="D44" t="str">
        <v>Summary of Change</v>
      </c>
      <c r="E44"/>
      <c r="F44"/>
      <c r="G44"/>
    </row>
    <row r="45" ht="17" customHeight="1">
      <c r="A45" t="str">
        <v>{version}</v>
      </c>
      <c r="B45" t="str">
        <v>{effectiveDate}</v>
      </c>
      <c r="C45" t="str">
        <v>{reviewerRole}</v>
      </c>
      <c r="D45" t="str">
        <v>{revisionNote}</v>
      </c>
      <c r="E45"/>
      <c r="F45"/>
      <c r="G45"/>
    </row>
    <row r="47" ht="58" customHeight="1">
      <c r="A47" t="str">
        <v>Drafter's note (internal, delete before publishing): Default is role-based vendor contacts to hold the Restricted floor; if named individuals are recorded, raise to Confidential. Pair with the External Connection Inventory (network connections) without duplicating it; this register holds the vendor relationships and access scope.</v>
      </c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pageMargins left="0.75" right="0.75" top="1" bottom="1" header="0.511811023622047" footer="0.511811023622047"/>
  <ignoredErrors>
    <ignoredError numberStoredAsText="1" sqref="A1:G4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22"/>
  <sheetViews>
    <sheetView workbookViewId="0" rightToLeft="0"/>
  </sheetViews>
  <cols>
    <col min="1" max="1" customWidth="1" width="22"/>
    <col min="2" max="2" customWidth="1" width="46"/>
    <col min="3" max="3" customWidth="1" width="14"/>
    <col min="4" max="4" customWidth="1" width="34"/>
  </cols>
  <sheetData>
    <row r="1" ht="25.5" customHeight="1">
      <c r="A1" t="str">
        <v>Column Instructions &amp; How to Use</v>
      </c>
    </row>
    <row r="2" ht="43.5" customHeight="1">
      <c r="A2" t="str">
        <v>How to use this shell: this is the reusable Inventory / Register shell. Fill the header block on the Register tab, replace every [BRACKETED] field, add and rename columns this specific register needs, then delete every « » note before publishing.</v>
      </c>
    </row>
    <row r="3" ht="29.75" customHeight="1">
      <c r="A3" t="str">
        <v>Placeholder key:  [BRACKETED] = fill in   ·   « » = guidance to delete.  Classification, Source Authority, signatures and revision history live on the Register tab.</v>
      </c>
    </row>
    <row r="5" ht="16" customHeight="1">
      <c r="A5" t="str">
        <v>The standard columns every register inherits</v>
      </c>
    </row>
    <row r="6" ht="24" customHeight="1">
      <c r="A6" t="str">
        <v>Column</v>
      </c>
      <c r="B6" t="str">
        <v>What it holds</v>
      </c>
      <c r="C6" t="str">
        <v>Required?</v>
      </c>
      <c r="D6" t="str">
        <v>Example value</v>
      </c>
    </row>
    <row r="7" ht="30" customHeight="1">
      <c r="A7" t="str">
        <v>Vendor ID</v>
      </c>
      <c r="B7" t="str">
        <v>Stable ID for the vendor/service relationship.</v>
      </c>
      <c r="C7" t="str">
        <v>Required</v>
      </c>
      <c r="D7" t="str">
        <v>VEN-014</v>
      </c>
    </row>
    <row r="8" ht="30" customHeight="1">
      <c r="A8" t="str">
        <v>Vendor / Service</v>
      </c>
      <c r="B8" t="str">
        <v>Name of the vendor and the service they manage.</v>
      </c>
      <c r="C8" t="str">
        <v>Required</v>
      </c>
      <c r="D8" t="str">
        <v>Hosted CAD (Vendor X)</v>
      </c>
    </row>
    <row r="9" ht="30" customHeight="1">
      <c r="A9" t="str">
        <v>Service type &amp; access scope</v>
      </c>
      <c r="B9" t="str">
        <v>What they manage and the systems/data reached; note contract or SLA reference.</v>
      </c>
      <c r="C9" t="str">
        <v>Required</v>
      </c>
      <c r="D9" t="str">
        <v>Cloud GIS; reads ALI; SLA-2025-07</v>
      </c>
    </row>
    <row r="10" ht="30" customHeight="1">
      <c r="A10" t="str">
        <v>Vendor contact (role)</v>
      </c>
      <c r="B10" t="str">
        <v>Role/title of the vendor's technical or security contact. A role, not a person's name, to hold the Restricted floor.</v>
      </c>
      <c r="C10" t="str">
        <v>Required</v>
      </c>
      <c r="D10" t="str">
        <v>Vendor X Security Contact</v>
      </c>
    </row>
    <row r="11" ht="30" customHeight="1">
      <c r="A11" t="str">
        <v>Status</v>
      </c>
      <c r="B11" t="str">
        <v>Active / Under Review / Retired / Decommissioned.</v>
      </c>
      <c r="C11" t="str">
        <v>Required</v>
      </c>
      <c r="D11" t="str">
        <v>Active</v>
      </c>
    </row>
    <row r="12" ht="30" customHeight="1">
      <c r="A12" t="str">
        <v>Last reconciled / Next review due</v>
      </c>
      <c r="B12" t="str">
        <v>Date last verified against active services, and the next review date.</v>
      </c>
      <c r="C12" t="str">
        <v>Required</v>
      </c>
      <c r="D12" t="str">
        <v>2026-03-01 / 2026-06-01</v>
      </c>
    </row>
    <row r="13" ht="30" customHeight="1">
      <c r="A13" t="str">
        <v>Next Review Due</v>
      </c>
      <c r="B13" t="str">
        <v>Date the entry must next be reviewed. Drives the ‘past due’ count in Summary.</v>
      </c>
      <c r="C13" t="str">
        <v>Required</v>
      </c>
      <c r="D13" t="str">
        <v>2026-09-01</v>
      </c>
    </row>
    <row r="15" ht="29.75" customHeight="1">
      <c r="A15" t="str">
        <v>« Summary on the Register tab counts entries by status and flags any past their Next Review Due date. Extend the COUNTIF formulas if you add status values. »</v>
      </c>
    </row>
    <row r="17" ht="20" customHeight="1">
      <c r="A17" t="str">
        <v>Profile Scaling Notes</v>
      </c>
    </row>
    <row r="18" ht="30" customHeight="1">
      <c r="A18" t="str">
        <v>What minimum-viable upkeep looks like at each PSAP size. Keep all three rows while this ships as a template; once adopted, keep the one that fits.</v>
      </c>
    </row>
    <row r="19">
      <c r="A19" t="str">
        <v>PSAP Profile</v>
      </c>
      <c r="B19" t="str">
        <v>Minimum-viable implementation</v>
      </c>
    </row>
    <row r="20" ht="42" customHeight="1">
      <c r="A20" t="str">
        <v>Small (1–5, no in-house IT)</v>
      </c>
      <c r="B20" t="str">
        <v>Maintain this by hand. One person, usually the director, keeps it current on the review cycle in the header block.</v>
      </c>
    </row>
    <row r="21" ht="42" customHeight="1">
      <c r="A21" t="str">
        <v>Medium (6–25, shared county IT)</v>
      </c>
      <c r="B21" t="str">
        <v>A named coordinator owns it, updates it on a set cadence, and reconciles it at each periodic review.</v>
      </c>
    </row>
    <row r="22" ht="42" customHeight="1">
      <c r="A22" t="str">
        <v>Large (25+, dedicated IT/security)</v>
      </c>
      <c r="B22" t="str">
        <v>Where a system of record exists (asset, identity, badge, or finance system), populate it from there on a schedule and treat this sheet as the reviewed record.</v>
      </c>
    </row>
  </sheetData>
  <mergeCells count="10">
    <mergeCell ref="A1:D1"/>
    <mergeCell ref="A3:D3"/>
    <mergeCell ref="A2:D2"/>
    <mergeCell ref="A15:D15"/>
    <mergeCell ref="A17:D17"/>
    <mergeCell ref="A18:D18"/>
    <mergeCell ref="B19:D19"/>
    <mergeCell ref="B20:D20"/>
    <mergeCell ref="B21:D21"/>
    <mergeCell ref="B22:D22"/>
  </mergeCells>
  <pageMargins left="0.75" right="0.75" top="1" bottom="1" header="0.511811023622047" footer="0.511811023622047"/>
  <ignoredErrors>
    <ignoredError numberStoredAsText="1" sqref="A1:D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</vt:lpstr>
      <vt:lpstr>Column 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2026-06-01T15:16:29Z</dcterms:created>
  <dcterms:modified xsi:type="dcterms:W3CDTF">2026-06-18T18:30:29Z</dcterms:modified>
  <cp:lastModifiedBy>Jason Jeffares</cp:lastModifiedBy>
  <cp:revision>0</cp:revision>
  <dc:creator>openpyxl</dc:creator>
  <dc:language>en-US</dc:language>
</cp:coreProperties>
</file>
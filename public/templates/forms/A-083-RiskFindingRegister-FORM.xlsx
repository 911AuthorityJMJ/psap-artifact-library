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orm" sheetId="1" r:id="rId1"/>
    <sheet name="Column Instruction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workbookViewId="0" rightToLeft="0"/>
  </sheetViews>
  <cols>
    <col min="1" max="1" customWidth="1" width="12"/>
    <col min="2" max="2" customWidth="1" width="16"/>
    <col min="3" max="3" customWidth="1" width="22"/>
    <col min="4" max="4" customWidth="1" width="40"/>
    <col min="5" max="5" customWidth="1" width="14"/>
    <col min="6" max="6" customWidth="1" width="18"/>
    <col min="7" max="7" customWidth="1" width="30"/>
    <col min="8" max="8" customWidth="1" width="12"/>
    <col min="9" max="9" customWidth="1" width="14"/>
    <col min="10" max="10" customWidth="1" width="22"/>
  </cols>
  <sheetData>
    <row r="1" ht="26" customHeight="1">
      <c r="A1" t="str">
        <v>Risk / Finding Register (POA&amp;M)</v>
      </c>
    </row>
    <row r="2" ht="30" customHeight="1">
      <c r="A2" t="str">
        <v>Plan of Action &amp; Milestones. Consolidated record of every open finding from assessments, scans, and audits, tracked to closure.</v>
      </c>
    </row>
    <row r="4" ht="20" customHeight="1">
      <c r="A4" t="str">
        <v>Authority</v>
      </c>
      <c r="B4"/>
      <c r="C4" t="str">
        <v>Adopted by {agencyName} under the authority of {signingOfficialTitle}.</v>
      </c>
      <c r="D4"/>
      <c r="E4"/>
      <c r="F4"/>
      <c r="G4"/>
      <c r="H4"/>
      <c r="I4"/>
      <c r="J4"/>
    </row>
    <row r="5" ht="20" customHeight="1">
      <c r="A5" t="str">
        <v>Owner</v>
      </c>
      <c r="B5"/>
      <c r="C5" t="str">
        <v>[Role title]   « use a role, not a person's name »</v>
      </c>
      <c r="D5"/>
      <c r="E5"/>
      <c r="F5"/>
      <c r="G5"/>
      <c r="H5"/>
      <c r="I5"/>
      <c r="J5"/>
    </row>
    <row r="6" ht="20" customHeight="1">
      <c r="A6" t="str">
        <v>Version / Dates</v>
      </c>
      <c r="B6"/>
      <c r="C6" t="str">
        <v>Version {version}      Effective Date {effectiveDate}      Next Review {effectiveDate}</v>
      </c>
      <c r="D6"/>
      <c r="E6"/>
      <c r="F6"/>
      <c r="G6"/>
      <c r="H6"/>
      <c r="I6"/>
      <c r="J6"/>
    </row>
    <row r="7" ht="20" customHeight="1">
      <c r="A7" t="str">
        <v>Classification</v>
      </c>
      <c r="B7"/>
      <c r="C7" t="str">
        <v>Restricted   « Minimum for this artifact. Append " / CJIS" if findings concern CJIS-regulated (IDACS) systems. »</v>
      </c>
      <c r="D7"/>
      <c r="E7"/>
      <c r="F7"/>
      <c r="G7"/>
      <c r="H7"/>
      <c r="I7"/>
      <c r="J7"/>
    </row>
    <row r="8" ht="20" customHeight="1">
      <c r="A8" t="str">
        <v>Review cadence</v>
      </c>
      <c r="B8"/>
      <c r="C8" t="str">
        <v>Reviewed at least [monthly] by the {ownerRole}; open items tracked to closure.</v>
      </c>
      <c r="D8"/>
      <c r="E8"/>
      <c r="F8"/>
      <c r="G8"/>
      <c r="H8"/>
      <c r="I8"/>
      <c r="J8"/>
    </row>
    <row r="10">
      <c r="A10" t="str">
        <v>Boundary</v>
      </c>
    </row>
    <row r="11" ht="45" customHeight="1">
      <c r="A11" t="str">
        <v>This register holds findings from assessments, scans, and audits, tracked to closure. Enterprise-level risks are maintained in the Risk Register; link each finding to its parent risk in the Risk Register Ref column. Do not duplicate risk-register content here.</v>
      </c>
    </row>
    <row r="12">
      <c r="A12" t="str">
        <v>Finding Entries</v>
      </c>
    </row>
    <row r="13" ht="30" customHeight="1">
      <c r="A13" t="str">
        <v>« One row per finding. Rank by life-safety and service-continuity impact. Set Status from the dropdown. Update rows in place as items close; do not delete closed rows. »</v>
      </c>
    </row>
    <row r="14" ht="32" customHeight="1">
      <c r="A14" t="str">
        <v>Finding ID</v>
      </c>
      <c r="B14" t="str">
        <v>Source (type + reference)</v>
      </c>
      <c r="C14" t="str">
        <v>Finding</v>
      </c>
      <c r="D14" t="str">
        <v>Impact Rank</v>
      </c>
      <c r="E14" t="str">
        <v>Risk Register Ref</v>
      </c>
      <c r="F14" t="str">
        <v>Owner (Role)</v>
      </c>
      <c r="G14" t="str">
        <v>Remediation Action</v>
      </c>
      <c r="H14" t="str">
        <v>Due Date</v>
      </c>
      <c r="I14" t="str">
        <v>Status</v>
      </c>
      <c r="J14" t="str">
        <v>Closure Date / Evidence</v>
      </c>
    </row>
    <row r="15" ht="20" customHeight="1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</row>
    <row r="16" ht="20" customHeight="1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</row>
    <row r="17" ht="20" customHeight="1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</row>
    <row r="18" ht="20" customHeight="1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</row>
    <row r="19" ht="20" customHeight="1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</row>
    <row r="20" ht="20" customHeight="1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</row>
    <row r="21" ht="20" customHeight="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</row>
    <row r="22" ht="20" customHeight="1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</row>
    <row r="23" ht="20" customHeight="1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</row>
    <row r="24" ht="20" customHeight="1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 ht="20" customHeight="1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</row>
    <row r="26" ht="20" customHeight="1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</row>
    <row r="28">
      <c r="A28" t="str">
        <v>Status Summary</v>
      </c>
    </row>
    <row r="29">
      <c r="A29" t="str">
        <v>Total findings</v>
      </c>
      <c r="C29">
        <f>COUNTA(A15:A26)</f>
      </c>
    </row>
    <row r="30">
      <c r="A30" t="str">
        <v>Open</v>
      </c>
      <c r="C30">
        <f>COUNTIF(I15:I26,"Open")</f>
      </c>
    </row>
    <row r="31">
      <c r="A31" t="str">
        <v>In progress</v>
      </c>
      <c r="C31">
        <f>COUNTIF(I15:I26,"In Progress")</f>
      </c>
    </row>
    <row r="32">
      <c r="A32" t="str">
        <v>Overdue (open / in progress past due)</v>
      </c>
      <c r="C32">
        <f>COUNTIFS(H15:H26,"&lt;"&amp;TODAY(),I15:I26,"Open")+COUNTIFS(H15:H26,"&lt;"&amp;TODAY(),I15:I26,"In Progress")</f>
      </c>
    </row>
    <row r="33">
      <c r="A33" t="str">
        <v>Risk accepted</v>
      </c>
      <c r="C33">
        <f>COUNTIF(I15:I26,"Risk Accepted")</f>
      </c>
    </row>
    <row r="34">
      <c r="A34" t="str">
        <v>Closed</v>
      </c>
      <c r="C34">
        <f>COUNTIF(I15:I26,"Closed")</f>
      </c>
    </row>
    <row r="35">
      <c r="A35" t="str">
        <v>Source Authority</v>
      </c>
    </row>
    <row r="36" ht="30" customHeight="1">
      <c r="A36" t="str">
        <v>« List only authorities that map to this artifact. Group by authority; order numerically. No padding. »</v>
      </c>
    </row>
    <row r="37">
      <c r="A37" t="str">
        <v>NENA-STA-040.2-2024: §3.2, §4.3, §5.2</v>
      </c>
    </row>
    <row r="38">
      <c r="A38" t="str">
        <v>NIST SP 800-53 Rev. 5: CA-5, CA-7, PM-4, RA-7, SI-2</v>
      </c>
    </row>
    <row r="39">
      <c r="A39" t="str">
        <v>CJIS Security Policy v5.9: §[ ]  (CJIS-regulated data in scope, via IDACS, if applicable)</v>
      </c>
    </row>
    <row r="40">
      <c r="A40" t="str">
        <v>Approval Signatures</v>
      </c>
    </row>
    <row r="41">
      <c r="A41" t="str">
        <v>Role</v>
      </c>
      <c r="B41" t="str">
        <v>Name</v>
      </c>
      <c r="C41" t="str">
        <v>Signature</v>
      </c>
      <c r="D41" t="str">
        <v>Date</v>
      </c>
    </row>
    <row r="42" ht="26" customHeight="1">
      <c r="A42" t="str">
        <v>{approvingOfficialTitle}</v>
      </c>
      <c r="B42"/>
      <c r="C42"/>
      <c r="D42"/>
    </row>
    <row r="43" ht="26" customHeight="1">
      <c r="A43" t="str">
        <v>{ownerRole}</v>
      </c>
      <c r="B43"/>
      <c r="C43"/>
      <c r="D43"/>
    </row>
    <row r="45">
      <c r="A45" t="str">
        <v>Revision History</v>
      </c>
    </row>
    <row r="46" ht="32" customHeight="1">
      <c r="A46" t="str">
        <v>Version</v>
      </c>
      <c r="B46" t="str">
        <v>Date</v>
      </c>
      <c r="C46" t="str">
        <v>Author</v>
      </c>
      <c r="D46" t="str">
        <v>Summary of Change</v>
      </c>
    </row>
    <row r="47" ht="20" customHeight="1">
      <c r="A47" t="str">
        <v/>
      </c>
      <c r="B47" t="str">
        <v/>
      </c>
      <c r="C47" t="str">
        <v/>
      </c>
      <c r="D47" t="str">
        <v/>
      </c>
    </row>
    <row r="48" ht="20" customHeight="1">
      <c r="A48" t="str">
        <v/>
      </c>
      <c r="B48" t="str">
        <v/>
      </c>
      <c r="C48" t="str">
        <v/>
      </c>
      <c r="D48" t="str">
        <v/>
      </c>
    </row>
    <row r="49" ht="20" customHeight="1">
      <c r="A49" t="str">
        <v/>
      </c>
      <c r="B49" t="str">
        <v/>
      </c>
      <c r="C49" t="str">
        <v/>
      </c>
      <c r="D49" t="str">
        <v/>
      </c>
    </row>
    <row r="51" ht="70" customHeight="1">
      <c r="A51" t="str">
        <v>Drafter's note (internal, delete before publishing): This register absorbed retired A-082 (Remediation Tracking) and A-084 (Remediation Assignment / Due Date), so it carries full remediation-tracking duty. Impact Rank intentionally weights life-safety and service-continuity over generic severity, per Scoping Notes. NENA citations map to §3.2 (compliance action plan / documented risk acceptance), §4.3 (risk treatment and reassessment cadence), and §5.2 (security-assessment findings).</v>
      </c>
      <c r="B51"/>
      <c r="C51"/>
      <c r="D51"/>
      <c r="E51"/>
      <c r="F51"/>
      <c r="G51"/>
      <c r="H51"/>
      <c r="I51"/>
      <c r="J51"/>
    </row>
  </sheetData>
  <mergeCells count="31">
    <mergeCell ref="A30:B30"/>
    <mergeCell ref="C6:J6"/>
    <mergeCell ref="A35:J35"/>
    <mergeCell ref="C5:J5"/>
    <mergeCell ref="A38:J38"/>
    <mergeCell ref="A10:J10"/>
    <mergeCell ref="A28:J28"/>
    <mergeCell ref="A6:B6"/>
    <mergeCell ref="A13:J13"/>
    <mergeCell ref="C4:J4"/>
    <mergeCell ref="A7:B7"/>
    <mergeCell ref="A40:J40"/>
    <mergeCell ref="A39:J39"/>
    <mergeCell ref="A11:J11"/>
    <mergeCell ref="A51:J51"/>
    <mergeCell ref="A1:J1"/>
    <mergeCell ref="A45:J45"/>
    <mergeCell ref="A36:J36"/>
    <mergeCell ref="A33:B33"/>
    <mergeCell ref="A5:B5"/>
    <mergeCell ref="A32:B32"/>
    <mergeCell ref="A8:B8"/>
    <mergeCell ref="C8:J8"/>
    <mergeCell ref="A4:B4"/>
    <mergeCell ref="A37:J37"/>
    <mergeCell ref="A29:B29"/>
    <mergeCell ref="C7:J7"/>
    <mergeCell ref="A12:J12"/>
    <mergeCell ref="A2:J2"/>
    <mergeCell ref="A31:B31"/>
    <mergeCell ref="A34:B34"/>
  </mergeCells>
  <pageMargins left="0.75" right="0.75" top="1" bottom="1" header="0.5" footer="0.5"/>
  <ignoredErrors>
    <ignoredError numberStoredAsText="1" sqref="A1:J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4"/>
  <sheetViews>
    <sheetView workbookViewId="0" rightToLeft="0"/>
  </sheetViews>
  <cols>
    <col min="1" max="1" customWidth="1" width="26"/>
    <col min="2" max="2" customWidth="1" width="52"/>
    <col min="3" max="3" customWidth="1" width="12"/>
    <col min="4" max="4" customWidth="1" width="34"/>
  </cols>
  <sheetData>
    <row r="1">
      <c r="A1" t="str">
        <v>Column Instructions &amp; How to Use</v>
      </c>
    </row>
    <row r="2" ht="45" customHeight="1">
      <c r="A2" t="str">
        <v>Reusable for the Risk / Finding Register (POA&amp;M). Fill the header block, log one finding per row, set Status from the dropdown, and update rows in place as items close. Delete every « » note before publishing.</v>
      </c>
    </row>
    <row r="4">
      <c r="A4" t="str">
        <v>Column</v>
      </c>
      <c r="B4" t="str">
        <v>What it holds</v>
      </c>
      <c r="C4" t="str">
        <v>Required?</v>
      </c>
      <c r="D4" t="str">
        <v>Example value</v>
      </c>
    </row>
    <row r="5" ht="30" customHeight="1">
      <c r="A5" t="str">
        <v>Finding ID</v>
      </c>
      <c r="B5" t="str">
        <v>Stable, unique identifier for the finding. Does not change once assigned.</v>
      </c>
      <c r="C5" t="str">
        <v>Required</v>
      </c>
      <c r="D5" t="str">
        <v>F-014</v>
      </c>
    </row>
    <row r="6" ht="30" customHeight="1">
      <c r="A6" t="str">
        <v>Source (type + reference)</v>
      </c>
      <c r="B6" t="str">
        <v>Where the finding came from: assessment, vulnerability scan, or audit, with a reference.</v>
      </c>
      <c r="C6" t="str">
        <v>Required</v>
      </c>
      <c r="D6" t="str">
        <v>Vuln scan 2026-03, host SRV-02</v>
      </c>
    </row>
    <row r="7" ht="30" customHeight="1">
      <c r="A7" t="str">
        <v>Finding</v>
      </c>
      <c r="B7" t="str">
        <v>What was found, in plain language.</v>
      </c>
      <c r="C7" t="str">
        <v>Required</v>
      </c>
      <c r="D7" t="str">
        <v>Unpatched OS on dispatch workstation</v>
      </c>
    </row>
    <row r="8" ht="30" customHeight="1">
      <c r="A8" t="str">
        <v>Impact Rank</v>
      </c>
      <c r="B8" t="str">
        <v>Priority weighted by life-safety and service-continuity impact, not generic severity.</v>
      </c>
      <c r="C8" t="str">
        <v>Required</v>
      </c>
      <c r="D8" t="str">
        <v>High - life-safety</v>
      </c>
    </row>
    <row r="9" ht="30" customHeight="1">
      <c r="A9" t="str">
        <v>Risk Register Ref</v>
      </c>
      <c r="B9" t="str">
        <v>Cross-reference to the parent entry in the Risk Register, if any.</v>
      </c>
      <c r="C9" t="str">
        <v>Optional</v>
      </c>
      <c r="D9" t="str">
        <v>R-009</v>
      </c>
    </row>
    <row r="10" ht="30" customHeight="1">
      <c r="A10" t="str">
        <v>Owner (Role)</v>
      </c>
      <c r="B10" t="str">
        <v>Role accountable for remediation. A role, never a person's name in the form.</v>
      </c>
      <c r="C10" t="str">
        <v>Required</v>
      </c>
      <c r="D10" t="str">
        <v>IT Support Lead</v>
      </c>
    </row>
    <row r="11" ht="30" customHeight="1">
      <c r="A11" t="str">
        <v>Remediation Action</v>
      </c>
      <c r="B11" t="str">
        <v>The action that will close the finding.</v>
      </c>
      <c r="C11" t="str">
        <v>Required</v>
      </c>
      <c r="D11" t="str">
        <v>Apply vendor patch in maintenance window</v>
      </c>
    </row>
    <row r="12" ht="30" customHeight="1">
      <c r="A12" t="str">
        <v>Due Date</v>
      </c>
      <c r="B12" t="str">
        <v>Target closure date. Drives the overdue count in the Status Summary.</v>
      </c>
      <c r="C12" t="str">
        <v>Required</v>
      </c>
      <c r="D12" t="str">
        <v>2026-05-15</v>
      </c>
    </row>
    <row r="13" ht="30" customHeight="1">
      <c r="A13" t="str">
        <v>Status</v>
      </c>
      <c r="B13" t="str">
        <v>Lifecycle state. Dropdown: Open, In Progress, Remediated, Risk Accepted, Closed.</v>
      </c>
      <c r="C13" t="str">
        <v>Required</v>
      </c>
      <c r="D13" t="str">
        <v>In Progress</v>
      </c>
    </row>
    <row r="14" ht="30" customHeight="1">
      <c r="A14" t="str">
        <v>Closure Date / Evidence</v>
      </c>
      <c r="B14" t="str">
        <v>Date closed and where the closure evidence is filed.</v>
      </c>
      <c r="C14" t="str">
        <v>Optional</v>
      </c>
      <c r="D14" t="str">
        <v>2026-05-12; ticket #4471</v>
      </c>
    </row>
  </sheetData>
  <mergeCells count="2">
    <mergeCell ref="A1:D1"/>
    <mergeCell ref="A2:D2"/>
  </mergeCells>
  <pageMargins left="0.75" right="0.75" top="1" bottom="1" header="0.5" footer="0.5"/>
  <ignoredErrors>
    <ignoredError numberStoredAsText="1" sqref="A1:D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</vt:lpstr>
      <vt:lpstr>Column 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2026-06-04T17:08:09Z</dcterms:created>
  <dcterms:modified xsi:type="dcterms:W3CDTF">2026-06-04T17:08:09Z</dcterms:modified>
  <dc:creator>openpyxl</dc:creator>
</cp:coreProperties>
</file>
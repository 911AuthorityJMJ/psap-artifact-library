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Form!$14:$14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color rgb="FF595959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1B3A5C"/>
      <sz val="14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wrapText="1"/>
    </xf>
    <xf numFmtId="0" fontId="0" fillId="4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applyNumberFormat="1"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0" customWidth="1" min="4" max="4"/>
    <col width="14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26" customHeight="1">
      <c r="A1" s="1" t="inlineStr">
        <is>
          <t>Risk / Finding Register (POA&amp;M)</t>
        </is>
      </c>
    </row>
    <row r="2" ht="30" customHeight="1">
      <c r="A2" s="2" t="inlineStr">
        <is>
          <t>Plan of Action &amp; Milestones. Consolidated record of every open finding from assessments, scans, and audits, tracked to closure.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[Agency Name] under the authority of [signing official / title].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6" t="inlineStr">
        <is>
          <t>[Role title]   « use a role, not a person's name »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[#]      Effective Date [Date]      Next Review [Date]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6" t="inlineStr">
        <is>
          <t>Restricted   « Minimum for this artifact. Append " / CJIS" if findings concern CJIS-regulated (IDACS) systems. »</t>
        </is>
      </c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3" t="inlineStr">
        <is>
          <t>Review cadence</t>
        </is>
      </c>
      <c r="B8" s="4" t="n"/>
      <c r="C8" s="5" t="inlineStr">
        <is>
          <t>Reviewed at least [monthly] by the [Owner role]; open items tracked to closure.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7" t="inlineStr">
        <is>
          <t>Boundary</t>
        </is>
      </c>
    </row>
    <row r="11" ht="45" customHeight="1">
      <c r="A11" s="2" t="inlineStr">
        <is>
          <t>This register holds findings from assessments, scans, and audits, tracked to closure. Enterprise-level risks are maintained in the Risk Register; link each finding to its parent risk in the Risk Register Ref column. Do not duplicate risk-register content here.</t>
        </is>
      </c>
    </row>
    <row r="12">
      <c r="A12" s="7" t="inlineStr">
        <is>
          <t>Finding Entries</t>
        </is>
      </c>
    </row>
    <row r="13" ht="30" customHeight="1">
      <c r="A13" s="2" t="inlineStr">
        <is>
          <t>« One row per finding. Rank by life-safety and service-continuity impact. Set Status from the dropdown. Update rows in place as items close; do not delete closed rows. »</t>
        </is>
      </c>
    </row>
    <row r="14" ht="34.7" customHeight="1">
      <c r="A14" s="8" t="inlineStr">
        <is>
          <t>Finding ID</t>
        </is>
      </c>
      <c r="B14" s="8" t="inlineStr">
        <is>
          <t>Source (type + reference)</t>
        </is>
      </c>
      <c r="C14" s="8" t="inlineStr">
        <is>
          <t>Finding</t>
        </is>
      </c>
      <c r="D14" s="8" t="inlineStr">
        <is>
          <t>Impact Rank</t>
        </is>
      </c>
      <c r="E14" s="8" t="inlineStr">
        <is>
          <t>Risk Register Ref</t>
        </is>
      </c>
      <c r="F14" s="8" t="inlineStr">
        <is>
          <t>Owner (Role)</t>
        </is>
      </c>
      <c r="G14" s="8" t="inlineStr">
        <is>
          <t>Remediation Action</t>
        </is>
      </c>
      <c r="H14" s="8" t="inlineStr">
        <is>
          <t>Due Date</t>
        </is>
      </c>
      <c r="I14" s="8" t="inlineStr">
        <is>
          <t>Status</t>
        </is>
      </c>
      <c r="J14" s="8" t="inlineStr">
        <is>
          <t>Closure Date / Evidence</t>
        </is>
      </c>
    </row>
    <row r="15" ht="20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</row>
    <row r="16" ht="20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</row>
    <row r="17" ht="20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</row>
    <row r="18" ht="20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</row>
    <row r="21" ht="20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 ht="20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</row>
    <row r="25" ht="20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</row>
    <row r="26" ht="20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</row>
    <row r="28">
      <c r="A28" s="7" t="inlineStr">
        <is>
          <t>Status Summary</t>
        </is>
      </c>
    </row>
    <row r="29">
      <c r="A29" s="10" t="inlineStr">
        <is>
          <t>Total findings</t>
        </is>
      </c>
      <c r="C29" s="11">
        <f>COUNTA(A15:A26)</f>
      </c>
    </row>
    <row r="30">
      <c r="A30" s="10" t="inlineStr">
        <is>
          <t>Open</t>
        </is>
      </c>
      <c r="C30" s="11">
        <f>COUNTIF(I15:I26,"Open")</f>
      </c>
    </row>
    <row r="31">
      <c r="A31" s="10" t="inlineStr">
        <is>
          <t>In progress</t>
        </is>
      </c>
      <c r="C31" s="11">
        <f>COUNTIF(I15:I26,"In Progress")</f>
      </c>
    </row>
    <row r="32">
      <c r="A32" s="10" t="inlineStr">
        <is>
          <t>Overdue (open / in progress past due)</t>
        </is>
      </c>
      <c r="C32" s="11">
        <f>COUNTIFS(H15:H26,"&lt;"&amp;TODAY(),I15:I26,"Open")+COUNTIFS(H15:H26,"&lt;"&amp;TODAY(),I15:I26,"In Progress")</f>
      </c>
    </row>
    <row r="33">
      <c r="A33" s="10" t="inlineStr">
        <is>
          <t>Risk accepted</t>
        </is>
      </c>
      <c r="C33" s="11">
        <f>COUNTIF(I15:I26,"Risk Accepted")</f>
      </c>
    </row>
    <row r="34">
      <c r="A34" s="10" t="inlineStr">
        <is>
          <t>Closed</t>
        </is>
      </c>
      <c r="C34" s="11">
        <f>COUNTIF(I15:I26,"Closed")</f>
      </c>
    </row>
    <row r="35">
      <c r="A35" s="7" t="inlineStr">
        <is>
          <t>Source Authority</t>
        </is>
      </c>
    </row>
    <row r="36" ht="30" customHeight="1">
      <c r="A36" s="2" t="inlineStr">
        <is>
          <t>« List only authorities that map to this artifact. Group by authority; order numerically. No padding. »</t>
        </is>
      </c>
    </row>
    <row r="37">
      <c r="A37" s="12" t="inlineStr">
        <is>
          <t>NENA-STA-040.2-2024: §3.2, §4.3, §5.2</t>
        </is>
      </c>
    </row>
    <row r="38">
      <c r="A38" s="12" t="inlineStr">
        <is>
          <t>NIST SP 800-53 Rev. 5: CA-5, CA-7, PM-4, RA-7, SI-2</t>
        </is>
      </c>
    </row>
    <row r="39">
      <c r="A39" s="12" t="inlineStr">
        <is>
          <t>CJIS Security Policy v5.9: §[ ]  (CJIS-regulated data in scope, via IDACS, if applicable)</t>
        </is>
      </c>
    </row>
    <row r="40">
      <c r="A40" s="7" t="inlineStr">
        <is>
          <t>Approval Signatures</t>
        </is>
      </c>
    </row>
    <row r="41">
      <c r="A41" s="13" t="inlineStr">
        <is>
          <t>Role</t>
        </is>
      </c>
      <c r="B41" s="13" t="inlineStr">
        <is>
          <t>Name</t>
        </is>
      </c>
      <c r="C41" s="13" t="inlineStr">
        <is>
          <t>Signature</t>
        </is>
      </c>
      <c r="D41" s="13" t="inlineStr">
        <is>
          <t>Date</t>
        </is>
      </c>
    </row>
    <row r="42" ht="26" customHeight="1">
      <c r="A42" s="14" t="inlineStr">
        <is>
          <t>[Approving official / title]</t>
        </is>
      </c>
      <c r="B42" s="15" t="n"/>
      <c r="C42" s="15" t="n"/>
      <c r="D42" s="15" t="n"/>
    </row>
    <row r="43" ht="26" customHeight="1">
      <c r="A43" s="14" t="inlineStr">
        <is>
          <t>[Owner role]</t>
        </is>
      </c>
      <c r="B43" s="15" t="n"/>
      <c r="C43" s="15" t="n"/>
      <c r="D43" s="15" t="n"/>
    </row>
    <row r="45">
      <c r="A45" s="7" t="inlineStr">
        <is>
          <t>Revision History</t>
        </is>
      </c>
    </row>
    <row r="46" ht="32" customHeight="1">
      <c r="A46" s="8" t="inlineStr">
        <is>
          <t>Version</t>
        </is>
      </c>
      <c r="B46" s="8" t="inlineStr">
        <is>
          <t>Date</t>
        </is>
      </c>
      <c r="C46" s="8" t="inlineStr">
        <is>
          <t>Author</t>
        </is>
      </c>
      <c r="D46" s="8" t="inlineStr">
        <is>
          <t>Summary of Change</t>
        </is>
      </c>
    </row>
    <row r="47" ht="20" customHeight="1">
      <c r="A47" s="9" t="inlineStr"/>
      <c r="B47" s="9" t="inlineStr"/>
      <c r="C47" s="9" t="inlineStr"/>
      <c r="D47" s="9" t="inlineStr"/>
    </row>
    <row r="48" ht="20" customHeight="1">
      <c r="A48" s="9" t="inlineStr"/>
      <c r="B48" s="9" t="inlineStr"/>
      <c r="C48" s="9" t="inlineStr"/>
      <c r="D48" s="9" t="inlineStr"/>
    </row>
    <row r="49" ht="20" customHeight="1">
      <c r="A49" s="9" t="inlineStr"/>
      <c r="B49" s="9" t="inlineStr"/>
      <c r="C49" s="9" t="inlineStr"/>
      <c r="D49" s="9" t="inlineStr"/>
    </row>
    <row r="51" ht="70" customHeight="1">
      <c r="A51" s="16" t="inlineStr">
        <is>
          <t>Drafter's note (internal, delete before publishing): This register absorbed the retired Remediation Tracking and Remediation Assignment / Due Date registers, so it carries full remediation-tracking duty. Impact Rank intentionally weights life-safety and service-continuity over generic severity, per Scoping Notes. NENA citations map to §3.2 (compliance action plan / documented risk acceptance), §4.3 (risk treatment and reassessment cadence), and §5.2 (security-assessment findings).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</row>
  </sheetData>
  <mergeCells count="31">
    <mergeCell ref="A30:B30"/>
    <mergeCell ref="C6:J6"/>
    <mergeCell ref="A35:J35"/>
    <mergeCell ref="C5:J5"/>
    <mergeCell ref="A38:J38"/>
    <mergeCell ref="A10:J10"/>
    <mergeCell ref="A28:J28"/>
    <mergeCell ref="A6:B6"/>
    <mergeCell ref="A13:J13"/>
    <mergeCell ref="C4:J4"/>
    <mergeCell ref="A7:B7"/>
    <mergeCell ref="A40:J40"/>
    <mergeCell ref="A39:J39"/>
    <mergeCell ref="A11:J11"/>
    <mergeCell ref="A51:J51"/>
    <mergeCell ref="A1:J1"/>
    <mergeCell ref="A45:J45"/>
    <mergeCell ref="A36:J36"/>
    <mergeCell ref="A33:B33"/>
    <mergeCell ref="A5:B5"/>
    <mergeCell ref="A32:B32"/>
    <mergeCell ref="A8:B8"/>
    <mergeCell ref="C8:J8"/>
    <mergeCell ref="A4:B4"/>
    <mergeCell ref="A37:J37"/>
    <mergeCell ref="A29:B29"/>
    <mergeCell ref="C7:J7"/>
    <mergeCell ref="A12:J12"/>
    <mergeCell ref="A2:J2"/>
    <mergeCell ref="A31:B31"/>
    <mergeCell ref="A34:B34"/>
  </mergeCells>
  <dataValidations count="1">
    <dataValidation sqref="I15:I26" showDropDown="0" showInputMessage="0" showErrorMessage="0" allowBlank="1" type="list">
      <formula1>"Open,In Progress,Remediated,Risk Accepted,Closed"</formula1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2" customWidth="1" min="3" max="3"/>
    <col width="34" customWidth="1" min="4" max="4"/>
  </cols>
  <sheetData>
    <row r="1">
      <c r="A1" s="18" t="inlineStr">
        <is>
          <t>Column Instructions &amp; How to Use</t>
        </is>
      </c>
    </row>
    <row r="2" ht="45" customHeight="1">
      <c r="A2" s="19" t="inlineStr">
        <is>
          <t>Reusable for the Risk / Finding Register (POA&amp;M). Fill the header block, log one finding per row, set Status from the dropdown, and update rows in place as items close. Delete every « » note before publishing.</t>
        </is>
      </c>
    </row>
    <row r="4">
      <c r="A4" s="13" t="inlineStr">
        <is>
          <t>Column</t>
        </is>
      </c>
      <c r="B4" s="13" t="inlineStr">
        <is>
          <t>What it holds</t>
        </is>
      </c>
      <c r="C4" s="13" t="inlineStr">
        <is>
          <t>Required?</t>
        </is>
      </c>
      <c r="D4" s="13" t="inlineStr">
        <is>
          <t>Example value</t>
        </is>
      </c>
    </row>
    <row r="5" ht="34.7" customHeight="1">
      <c r="A5" s="9" t="inlineStr">
        <is>
          <t>Finding ID</t>
        </is>
      </c>
      <c r="B5" s="9" t="inlineStr">
        <is>
          <t>Stable, unique identifier for the finding. Does not change once assigned.</t>
        </is>
      </c>
      <c r="C5" s="9" t="inlineStr">
        <is>
          <t>Required</t>
        </is>
      </c>
      <c r="D5" s="9" t="inlineStr">
        <is>
          <t>F-014</t>
        </is>
      </c>
    </row>
    <row r="6" ht="34.7" customHeight="1">
      <c r="A6" s="9" t="inlineStr">
        <is>
          <t>Source (type + reference)</t>
        </is>
      </c>
      <c r="B6" s="9" t="inlineStr">
        <is>
          <t>Where the finding came from: assessment, vulnerability scan, or audit, with a reference.</t>
        </is>
      </c>
      <c r="C6" s="9" t="inlineStr">
        <is>
          <t>Required</t>
        </is>
      </c>
      <c r="D6" s="9" t="inlineStr">
        <is>
          <t>Vuln scan 2026-03, host SRV-02</t>
        </is>
      </c>
    </row>
    <row r="7" ht="34.7" customHeight="1">
      <c r="A7" s="9" t="inlineStr">
        <is>
          <t>Finding</t>
        </is>
      </c>
      <c r="B7" s="9" t="inlineStr">
        <is>
          <t>What was found, in plain language.</t>
        </is>
      </c>
      <c r="C7" s="9" t="inlineStr">
        <is>
          <t>Required</t>
        </is>
      </c>
      <c r="D7" s="9" t="inlineStr">
        <is>
          <t>Unpatched OS on dispatch workstation</t>
        </is>
      </c>
    </row>
    <row r="8" ht="34.7" customHeight="1">
      <c r="A8" s="9" t="inlineStr">
        <is>
          <t>Impact Rank</t>
        </is>
      </c>
      <c r="B8" s="9" t="inlineStr">
        <is>
          <t>Priority weighted by life-safety and service-continuity impact, not generic severity.</t>
        </is>
      </c>
      <c r="C8" s="9" t="inlineStr">
        <is>
          <t>Required</t>
        </is>
      </c>
      <c r="D8" s="9" t="inlineStr">
        <is>
          <t>High - life-safety</t>
        </is>
      </c>
    </row>
    <row r="9" ht="34.7" customHeight="1">
      <c r="A9" s="9" t="inlineStr">
        <is>
          <t>Risk Register Ref</t>
        </is>
      </c>
      <c r="B9" s="9" t="inlineStr">
        <is>
          <t>Cross-reference to the parent entry in the Risk Register, if any.</t>
        </is>
      </c>
      <c r="C9" s="9" t="inlineStr">
        <is>
          <t>Optional</t>
        </is>
      </c>
      <c r="D9" s="9" t="inlineStr">
        <is>
          <t>R-009</t>
        </is>
      </c>
    </row>
    <row r="10" ht="34.7" customHeight="1">
      <c r="A10" s="9" t="inlineStr">
        <is>
          <t>Owner (Role)</t>
        </is>
      </c>
      <c r="B10" s="9" t="inlineStr">
        <is>
          <t>Role accountable for remediation. A role, never a person's name in the form.</t>
        </is>
      </c>
      <c r="C10" s="9" t="inlineStr">
        <is>
          <t>Required</t>
        </is>
      </c>
      <c r="D10" s="9" t="inlineStr">
        <is>
          <t>IT Support Lead</t>
        </is>
      </c>
    </row>
    <row r="11" ht="34.7" customHeight="1">
      <c r="A11" s="9" t="inlineStr">
        <is>
          <t>Remediation Action</t>
        </is>
      </c>
      <c r="B11" s="9" t="inlineStr">
        <is>
          <t>The action that will close the finding.</t>
        </is>
      </c>
      <c r="C11" s="9" t="inlineStr">
        <is>
          <t>Required</t>
        </is>
      </c>
      <c r="D11" s="9" t="inlineStr">
        <is>
          <t>Apply vendor patch in maintenance window</t>
        </is>
      </c>
    </row>
    <row r="12" ht="34.7" customHeight="1">
      <c r="A12" s="9" t="inlineStr">
        <is>
          <t>Due Date</t>
        </is>
      </c>
      <c r="B12" s="9" t="inlineStr">
        <is>
          <t>Target closure date. Drives the overdue count in the Status Summary.</t>
        </is>
      </c>
      <c r="C12" s="9" t="inlineStr">
        <is>
          <t>Required</t>
        </is>
      </c>
      <c r="D12" s="24">
        <v>46157</v>
      </c>
    </row>
    <row r="13" ht="34.7" customHeight="1">
      <c r="A13" s="9" t="inlineStr">
        <is>
          <t>Status</t>
        </is>
      </c>
      <c r="B13" s="9" t="inlineStr">
        <is>
          <t>Lifecycle state. Dropdown: Open, In Progress, Remediated, Risk Accepted, Closed.</t>
        </is>
      </c>
      <c r="C13" s="9" t="inlineStr">
        <is>
          <t>Required</t>
        </is>
      </c>
      <c r="D13" s="9" t="inlineStr">
        <is>
          <t>In Progress</t>
        </is>
      </c>
    </row>
    <row r="14" ht="30" customHeight="1">
      <c r="A14" s="9" t="inlineStr">
        <is>
          <t>Closure Date / Evidence</t>
        </is>
      </c>
      <c r="B14" s="9" t="inlineStr">
        <is>
          <t>Date closed and where the closure evidence is filed.</t>
        </is>
      </c>
      <c r="C14" s="9" t="inlineStr">
        <is>
          <t>Optional</t>
        </is>
      </c>
      <c r="D14" s="9" t="inlineStr">
        <is>
          <t>2026-05-12; ticket #4471</t>
        </is>
      </c>
    </row>
    <row r="16" ht="20" customHeight="1">
      <c r="A16" s="20" t="inlineStr">
        <is>
          <t xml:space="preserve">Profile Scaling Notes</t>
        </is>
      </c>
    </row>
    <row r="17" ht="30" customHeight="1">
      <c r="A17" s="21" t="inlineStr">
        <is>
          <t xml:space="preserve">What minimum-viable upkeep looks like at each PSAP size. Keep all three rows while this ships as a template; once adopted, keep the one that fits.</t>
        </is>
      </c>
    </row>
    <row r="18">
      <c r="A18" s="20" t="inlineStr">
        <is>
          <t xml:space="preserve">PSAP Profile</t>
        </is>
      </c>
      <c r="B18" s="20" t="inlineStr">
        <is>
          <t xml:space="preserve">Minimum-viable implementation</t>
        </is>
      </c>
    </row>
    <row r="19" ht="42" customHeight="1">
      <c r="A19" s="22" t="inlineStr">
        <is>
          <t xml:space="preserve">Small (1–5, no in-house IT)</t>
        </is>
      </c>
      <c r="B19" s="23" t="inlineStr">
        <is>
          <t xml:space="preserve">Maintain this by hand. One person, usually the director, keeps it current on the review cycle in the header block.</t>
        </is>
      </c>
    </row>
    <row r="20" ht="42" customHeight="1">
      <c r="A20" s="22" t="inlineStr">
        <is>
          <t xml:space="preserve">Medium (6–25, shared county IT)</t>
        </is>
      </c>
      <c r="B20" s="23" t="inlineStr">
        <is>
          <t xml:space="preserve">A named coordinator owns it, updates it on a set cadence, and reconciles it at each periodic review.</t>
        </is>
      </c>
    </row>
    <row r="21" ht="42" customHeight="1">
      <c r="A21" s="22" t="inlineStr">
        <is>
          <t xml:space="preserve">Large (25+, dedicated IT/security)</t>
        </is>
      </c>
      <c r="B21" s="23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8">
    <mergeCell ref="A1:D1"/>
    <mergeCell ref="A2:D2"/>
    <mergeCell ref="A16:D16"/>
    <mergeCell ref="A17:D17"/>
    <mergeCell ref="B18:D18"/>
    <mergeCell ref="B19:D19"/>
    <mergeCell ref="B20:D20"/>
    <mergeCell ref="B21:D21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2026-06-04T17:08:09Z</dcterms:created>
  <dcterms:modified xmlns:dcterms="http://purl.org/dc/terms/" xmlns:xsi="http://www.w3.org/2001/XMLSchema-instance" xsi:type="dcterms:W3CDTF">2026-06-04T17:08:09Z</dcterms:modified>
  <dc:title xmlns:dc="http://purl.org/dc/elements/1.1/">Risk / Finding Register (POA&amp;M) - FORM</dc:title>
  <cp:lastModifiedBy/>
</cp:coreProperties>
</file>
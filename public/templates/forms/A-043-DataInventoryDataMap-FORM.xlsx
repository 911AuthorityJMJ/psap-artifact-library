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egister" sheetId="1" r:id="rId1"/>
    <sheet name="Column Instructions" sheetId="2" r:id="rId2"/>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164" formatCode="General"/>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applyNumberFormat="1"/>
    <xf numFmtId="164"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dimension ref="A1:K48"/>
  <sheetViews>
    <sheetView workbookViewId="0" rightToLeft="0"/>
  </sheetViews>
  <cols>
    <col min="1" max="1" customWidth="1" width="10" level="0" outlineLevel="0"/>
    <col min="2" max="2" customWidth="1" width="26" level="0" outlineLevel="0"/>
    <col min="3" max="3" customWidth="1" width="22" level="0" outlineLevel="0"/>
    <col min="4" max="4" customWidth="1" width="18" level="0" outlineLevel="0"/>
    <col min="5" max="5" customWidth="1" width="20" level="0" outlineLevel="0"/>
    <col min="6" max="6" customWidth="1" width="24" level="0" outlineLevel="0"/>
    <col min="7" max="7" customWidth="1" width="24" level="0" outlineLevel="0"/>
    <col min="8" max="8" customWidth="1" width="24" level="0" outlineLevel="0"/>
    <col min="9" max="9" customWidth="1" width="16" level="0" outlineLevel="0"/>
    <col min="10" max="10" customWidth="1" width="16" level="0" outlineLevel="0"/>
    <col min="11" max="11" customWidth="1" width="16" level="0" outlineLevel="0"/>
  </cols>
  <sheetData>
    <row r="1" ht="25.5" customHeight="1">
      <c r="A1" s="1" t="str">
        <v>Data Inventory / Data Map</v>
      </c>
      <c r="B1" s="1"/>
      <c r="C1" s="1"/>
      <c r="D1" s="1"/>
      <c r="E1" s="1"/>
      <c r="F1" s="1"/>
      <c r="G1" s="1"/>
      <c r="H1" s="1"/>
      <c r="I1" s="1"/>
      <c r="J1" s="1"/>
      <c r="K1" s="1"/>
    </row>
    <row r="3" ht="30" customHeight="1">
      <c r="A3" s="1" t="str">
        <v>Authority</v>
      </c>
      <c r="B3" s="1"/>
      <c r="C3" s="1" t="str">
        <v>Adopted by {agencyName} under the authority of {signingOfficialTitle}.</v>
      </c>
      <c r="D3" s="1"/>
      <c r="E3" s="1"/>
      <c r="F3" s="1"/>
      <c r="G3" s="1"/>
      <c r="H3" s="1"/>
      <c r="I3" s="1"/>
      <c r="J3" s="1"/>
      <c r="K3" s="1"/>
    </row>
    <row r="4" ht="30" customHeight="1">
      <c r="A4" s="1" t="str">
        <v>Owner</v>
      </c>
      <c r="B4" s="1"/>
      <c r="C4" s="1" t="str">
        <v>[Role title]   « use a role, not a person’s name »</v>
      </c>
      <c r="D4" s="1"/>
      <c r="E4" s="1"/>
      <c r="F4" s="1"/>
      <c r="G4" s="1"/>
      <c r="H4" s="1"/>
      <c r="I4" s="1"/>
      <c r="J4" s="1"/>
      <c r="K4" s="1"/>
    </row>
    <row r="5" ht="30" customHeight="1">
      <c r="A5" s="1" t="str">
        <v>Version / Dates</v>
      </c>
      <c r="B5" s="1"/>
      <c r="C5" s="1" t="str">
        <v>Version {version}      Effective Date {effectiveDate}      Next Review {effectiveDate}</v>
      </c>
      <c r="D5" s="1"/>
      <c r="E5" s="1"/>
      <c r="F5" s="1"/>
      <c r="G5" s="1"/>
      <c r="H5" s="1"/>
      <c r="I5" s="1"/>
      <c r="J5" s="1"/>
      <c r="K5" s="1"/>
    </row>
    <row r="6" ht="30" customHeight="1">
      <c r="A6" s="1" t="str">
        <v>Classification</v>
      </c>
      <c r="B6" s="1"/>
      <c r="C6" s="1" t="str">
        <v>Restricted / CJIS   « Minimum. Raise an individual row to Confidential where the data type includes PII. »</v>
      </c>
      <c r="D6" s="1"/>
      <c r="E6" s="1"/>
      <c r="F6" s="1"/>
      <c r="G6" s="1"/>
      <c r="H6" s="1"/>
      <c r="I6" s="1"/>
      <c r="J6" s="1"/>
      <c r="K6" s="1"/>
    </row>
    <row r="7" ht="30" customHeight="1">
      <c r="A7" s="1" t="str">
        <v>Reconciliation cadence</v>
      </c>
      <c r="B7" s="1"/>
      <c r="C7" s="1" t="str">
        <v>Reconciled at least [annually] by the {ownerRole}; entries kept current on a set cadence.</v>
      </c>
      <c r="D7" s="1"/>
      <c r="E7" s="1"/>
      <c r="F7" s="1"/>
      <c r="G7" s="1"/>
      <c r="H7" s="1"/>
      <c r="I7" s="1"/>
      <c r="J7" s="1"/>
      <c r="K7" s="1"/>
    </row>
    <row r="9" ht="15" customHeight="1">
      <c r="A9" s="1" t="str">
        <v>Register Entries</v>
      </c>
      <c r="B9" s="1"/>
      <c r="C9" s="1"/>
      <c r="D9" s="1"/>
      <c r="E9" s="1"/>
      <c r="F9" s="1"/>
      <c r="G9" s="1"/>
      <c r="H9" s="1"/>
      <c r="I9" s="1"/>
      <c r="J9" s="1"/>
      <c r="K9" s="1"/>
    </row>
    <row r="10" ht="27.75" customHeight="1">
      <c r="A10" s="1" t="str">
        <v>« One row per data type. Map each to its owning system, classification, and the controls that protect it. Classification values must match the Data Classification Policy. »</v>
      </c>
      <c r="B10" s="1"/>
      <c r="C10" s="1"/>
      <c r="D10" s="1"/>
      <c r="E10" s="1"/>
      <c r="F10" s="1"/>
      <c r="G10" s="1"/>
      <c r="H10" s="1"/>
      <c r="I10" s="1"/>
      <c r="J10" s="1"/>
      <c r="K10" s="1"/>
    </row>
    <row r="11" ht="39.75" customHeight="1">
      <c r="A11" s="1" t="str">
        <v>ID</v>
      </c>
      <c r="B11" s="1" t="str">
        <v>Data Type / Category</v>
      </c>
      <c r="C11" s="1" t="str">
        <v>Owning System</v>
      </c>
      <c r="D11" s="1" t="str">
        <v>Classification</v>
      </c>
      <c r="E11" s="1" t="str">
        <v>Data Owner (Role)</v>
      </c>
      <c r="F11" s="1" t="str">
        <v>Encryption Mechanism</v>
      </c>
      <c r="G11" s="1" t="str">
        <v>Access-Restriction Method</v>
      </c>
      <c r="H11" s="1" t="str">
        <v>Retention Reference</v>
      </c>
      <c r="I11" s="1" t="str">
        <v>Lifecycle Stage</v>
      </c>
      <c r="J11" s="1" t="str">
        <v>Last Reconciled</v>
      </c>
      <c r="K11" s="1" t="str">
        <v>Next Reconcile Due</v>
      </c>
    </row>
    <row r="12" ht="27.75" customHeight="1">
      <c r="A12" s="1" t="str">
        <v>DAT-001</v>
      </c>
      <c r="B12" s="1" t="str">
        <v>[ALI / caller location data]</v>
      </c>
      <c r="C12" s="1" t="str">
        <v>[CAD / ESInet]</v>
      </c>
      <c r="D12" s="1" t="str">
        <v>Restricted</v>
      </c>
      <c r="E12" s="1" t="str">
        <v>[Data owner role]</v>
      </c>
      <c r="F12" s="1" t="str">
        <v>[TLS in transit; AES-256 at rest]</v>
      </c>
      <c r="G12" s="1" t="str">
        <v>[RBAC; need-to-know]</v>
      </c>
      <c r="H12" s="1" t="str">
        <v>[See Data Retention Schedule]</v>
      </c>
      <c r="I12" s="1" t="str">
        <v>Active</v>
      </c>
      <c r="J12" s="1" t="str">
        <v>[YYYY-MM-DD]</v>
      </c>
      <c r="K12" s="1" t="str">
        <v>[YYYY-MM-DD]</v>
      </c>
    </row>
    <row r="13" ht="27.75" customHeight="1">
      <c r="A13" s="1" t="str">
        <v>DAT-002</v>
      </c>
      <c r="B13" s="1" t="str">
        <v>[Criminal justice information (CHRI)]</v>
      </c>
      <c r="C13" s="1" t="str">
        <v>[IDACS workstation / query logs]</v>
      </c>
      <c r="D13" s="1" t="str">
        <v>Confidential / CJIS</v>
      </c>
      <c r="E13" s="1" t="str">
        <v>[Data owner role]</v>
      </c>
      <c r="F13" s="1" t="str">
        <v>[FIPS 140-validated encryption]</v>
      </c>
      <c r="G13" s="1" t="str">
        <v>[IDACS-authorized users only]</v>
      </c>
      <c r="H13" s="1" t="str">
        <v>[Retention per CJIS / IDACS]</v>
      </c>
      <c r="I13" s="1" t="str">
        <v>Active</v>
      </c>
      <c r="J13" s="1" t="str">
        <v>[YYYY-MM-DD]</v>
      </c>
      <c r="K13" s="1" t="str">
        <v>[YYYY-MM-DD]</v>
      </c>
    </row>
    <row r="14" ht="27.75" customHeight="1">
      <c r="A14" s="1" t="str">
        <v>DAT-003</v>
      </c>
      <c r="B14" s="1" t="str">
        <v>[Recorded 911 call audio]</v>
      </c>
      <c r="C14" s="1" t="str">
        <v>[Logging recorder]</v>
      </c>
      <c r="D14" s="1" t="str">
        <v>Restricted</v>
      </c>
      <c r="E14" s="1" t="str">
        <v>[Data owner role]</v>
      </c>
      <c r="F14" s="1" t="str">
        <v>[Encrypted at rest]</v>
      </c>
      <c r="G14" s="1" t="str">
        <v>[Supervisor + records roles]</v>
      </c>
      <c r="H14" s="1" t="str">
        <v>[See Data Retention Schedule]</v>
      </c>
      <c r="I14" s="1" t="str">
        <v>Active</v>
      </c>
      <c r="J14" s="1" t="str">
        <v>[YYYY-MM-DD]</v>
      </c>
      <c r="K14" s="1" t="str">
        <v>[YYYY-MM-DD]</v>
      </c>
    </row>
    <row r="15" ht="27.75" customHeight="1">
      <c r="A15" s="1" t="str">
        <v>DAT-004</v>
      </c>
      <c r="B15" s="1" t="str">
        <v>[Personnel records]</v>
      </c>
      <c r="C15" s="1" t="str">
        <v>[HR system]</v>
      </c>
      <c r="D15" s="1" t="str">
        <v>Confidential</v>
      </c>
      <c r="E15" s="1" t="str">
        <v>[Data owner role]</v>
      </c>
      <c r="F15" s="1" t="str">
        <v>[Encrypted at rest]</v>
      </c>
      <c r="G15" s="1" t="str">
        <v>[HR + director only]</v>
      </c>
      <c r="H15" s="1" t="str">
        <v>[Per records retention]</v>
      </c>
      <c r="I15" s="1" t="str">
        <v>Active</v>
      </c>
      <c r="J15" s="1" t="str">
        <v>[YYYY-MM-DD]</v>
      </c>
      <c r="K15" s="1" t="str">
        <v>[YYYY-MM-DD]</v>
      </c>
    </row>
    <row r="16" ht="27.75" customHeight="1">
      <c r="A16" s="1" t="str">
        <v>[Add data types as needed]</v>
      </c>
      <c r="B16" s="1" t="str">
        <v>[Data type]</v>
      </c>
      <c r="C16" s="1" t="str">
        <v>[Owning system]</v>
      </c>
      <c r="D16" s="1" t="str">
        <v>[Classification]</v>
      </c>
      <c r="E16" s="1" t="str">
        <v>{reviewerRole}</v>
      </c>
      <c r="F16" s="1" t="str">
        <v>[Mechanism]</v>
      </c>
      <c r="G16" s="1" t="str">
        <v>[Method]</v>
      </c>
      <c r="H16" s="1" t="str">
        <v>[Reference]</v>
      </c>
      <c r="I16" s="1" t="str">
        <v>Active</v>
      </c>
      <c r="J16" s="1" t="str">
        <v>[YYYY-MM-DD]</v>
      </c>
      <c r="K16" s="1" t="str">
        <v>[YYYY-MM-DD]</v>
      </c>
    </row>
    <row r="18" ht="15" customHeight="1">
      <c r="A18" s="1" t="str">
        <v>Summary</v>
      </c>
      <c r="B18" s="1"/>
      <c r="C18" s="1"/>
      <c r="D18" s="1"/>
      <c r="E18" s="1"/>
      <c r="F18" s="1"/>
      <c r="G18" s="1"/>
      <c r="H18" s="1"/>
      <c r="I18" s="1"/>
      <c r="J18" s="1"/>
      <c r="K18" s="1"/>
    </row>
    <row r="19" ht="15" customHeight="1">
      <c r="A19" s="1" t="str">
        <v>Total data types</v>
      </c>
      <c r="C19" s="1">
        <f>COUNTA(A12:A16)</f>
        <v>5</v>
      </c>
    </row>
    <row r="20" ht="15" customHeight="1">
      <c r="A20" s="1" t="str">
        <v>Internal</v>
      </c>
      <c r="C20" s="1">
        <f>COUNTIF(D12:D16,"*Internal*")</f>
        <v>0</v>
      </c>
    </row>
    <row r="21" ht="15" customHeight="1">
      <c r="A21" s="1" t="str">
        <v>Restricted</v>
      </c>
      <c r="C21" s="1">
        <f>COUNTIF(D12:D16,"*Restricted*")</f>
        <v>2</v>
      </c>
    </row>
    <row r="22" ht="15" customHeight="1">
      <c r="A22" s="1" t="str">
        <v>Confidential</v>
      </c>
      <c r="C22" s="1">
        <f>COUNTIF(D12:D16,"*Confidential*")</f>
        <v>2</v>
      </c>
    </row>
    <row r="23" ht="15" customHeight="1">
      <c r="A23" s="1" t="str">
        <v>CJIS-bearing types</v>
      </c>
      <c r="C23" s="1">
        <f>COUNTIF(D12:D16,"*CJIS*")</f>
        <v>1</v>
      </c>
    </row>
    <row r="24" ht="15" customHeight="1">
      <c r="A24" s="1" t="str">
        <v>Past due for reconciliation</v>
      </c>
      <c r="C24" s="1">
        <f>COUNTIF(K12:K16,"&lt;"&amp;TODAY())</f>
        <v>0</v>
      </c>
    </row>
    <row r="26" ht="15" customHeight="1">
      <c r="A26" s="1" t="str">
        <v>CJIS Handling</v>
      </c>
      <c r="B26" s="1"/>
      <c r="C26" s="1"/>
      <c r="D26" s="1"/>
      <c r="E26" s="1"/>
      <c r="F26" s="1"/>
      <c r="G26" s="1"/>
      <c r="H26" s="1"/>
      <c r="I26" s="1"/>
      <c r="J26" s="1"/>
      <c r="K26" s="1"/>
    </row>
    <row r="27" ht="60" customHeight="1">
      <c r="A27" s="1" t="str">
        <v>CJIS Handling: Data types marked “/ CJIS” contain CJIS-regulated data, in Indiana reached through IDACS. Apply CJIS Security Policy v5.9 §5.5 (Access Control) and §5.10 (System and Communications Protection), and 240 IAC 5, to those types in addition to the controls recorded above.</v>
      </c>
      <c r="B27" s="1"/>
      <c r="C27" s="1"/>
      <c r="D27" s="1"/>
      <c r="E27" s="1"/>
      <c r="F27" s="1"/>
      <c r="G27" s="1"/>
      <c r="H27" s="1"/>
      <c r="I27" s="1"/>
      <c r="J27" s="1"/>
      <c r="K27" s="1"/>
    </row>
    <row r="29" ht="15" customHeight="1">
      <c r="A29" s="1" t="str">
        <v>Downstream Use</v>
      </c>
      <c r="B29" s="1"/>
      <c r="C29" s="1"/>
      <c r="D29" s="1"/>
      <c r="E29" s="1"/>
      <c r="F29" s="1"/>
      <c r="G29" s="1"/>
      <c r="H29" s="1"/>
      <c r="I29" s="1"/>
      <c r="J29" s="1"/>
      <c r="K29" s="1"/>
    </row>
    <row r="30" ht="45" customHeight="1">
      <c r="A30" s="1" t="str">
        <v>This data map sets the classification and protection baseline that the Data Retention Schedule, Document Handling Standard, and Encryption Standards Document implement. Reference those documents for the detail; this map does not restate them.</v>
      </c>
      <c r="B30" s="1"/>
      <c r="C30" s="1"/>
      <c r="D30" s="1"/>
      <c r="E30" s="1"/>
      <c r="F30" s="1"/>
      <c r="G30" s="1"/>
      <c r="H30" s="1"/>
      <c r="I30" s="1"/>
      <c r="J30" s="1"/>
      <c r="K30" s="1"/>
    </row>
    <row r="32" ht="15" customHeight="1">
      <c r="A32" s="1" t="str">
        <v>Source Authority</v>
      </c>
      <c r="B32" s="1"/>
      <c r="C32" s="1"/>
      <c r="D32" s="1"/>
      <c r="E32" s="1"/>
      <c r="F32" s="1"/>
      <c r="G32" s="1"/>
      <c r="H32" s="1"/>
      <c r="I32" s="1"/>
      <c r="J32" s="1"/>
      <c r="K32" s="1"/>
    </row>
    <row r="33" ht="15" customHeight="1">
      <c r="A33" s="1" t="str">
        <v>« List only the authorities that map to this artifact. Group by authority; order numerically. No padding. »</v>
      </c>
      <c r="B33" s="1"/>
      <c r="C33" s="1"/>
      <c r="D33" s="1"/>
      <c r="E33" s="1"/>
      <c r="F33" s="1"/>
      <c r="G33" s="1"/>
      <c r="H33" s="1"/>
      <c r="I33" s="1"/>
      <c r="J33" s="1"/>
      <c r="K33" s="1"/>
    </row>
    <row r="34" ht="15" customHeight="1">
      <c r="A34" s="1" t="str">
        <v>NENA-STA-040.2-2024: §4.1.4, §4.2.2, §5.4</v>
      </c>
      <c r="B34" s="1"/>
      <c r="C34" s="1"/>
      <c r="D34" s="1"/>
      <c r="E34" s="1"/>
      <c r="F34" s="1"/>
      <c r="G34" s="1"/>
      <c r="H34" s="1"/>
      <c r="I34" s="1"/>
      <c r="J34" s="1"/>
      <c r="K34" s="1"/>
    </row>
    <row r="35" ht="15" customHeight="1">
      <c r="A35" s="1" t="str">
        <v>NIST SP 800-53 Rev. 5: CM-8, MP-4, PM-5, RA-2, SC-28</v>
      </c>
      <c r="B35" s="1"/>
      <c r="C35" s="1"/>
      <c r="D35" s="1"/>
      <c r="E35" s="1"/>
      <c r="F35" s="1"/>
      <c r="G35" s="1"/>
      <c r="H35" s="1"/>
      <c r="I35" s="1"/>
      <c r="J35" s="1"/>
      <c r="K35" s="1"/>
    </row>
    <row r="36" ht="15" customHeight="1">
      <c r="A36" s="1" t="str">
        <v>Indiana statutes and administrative code: IC 24-4.9 — Data Breach Notification; 240 IAC 5 — IDACS Security (for CJIS-bearing types)</v>
      </c>
      <c r="B36" s="1"/>
      <c r="C36" s="1"/>
      <c r="D36" s="1"/>
      <c r="E36" s="1"/>
      <c r="F36" s="1"/>
      <c r="G36" s="1"/>
      <c r="H36" s="1"/>
      <c r="I36" s="1"/>
      <c r="J36" s="1"/>
      <c r="K36" s="1"/>
    </row>
    <row r="37" ht="15" customHeight="1">
      <c r="A37" s="1" t="str">
        <v>CJIS Security Policy v5.9: §5.5, §5.10  (CJIS-regulated data in scope via IDACS)</v>
      </c>
      <c r="B37" s="1"/>
      <c r="C37" s="1"/>
      <c r="D37" s="1"/>
      <c r="E37" s="1"/>
      <c r="F37" s="1"/>
      <c r="G37" s="1"/>
      <c r="H37" s="1"/>
      <c r="I37" s="1"/>
      <c r="J37" s="1"/>
      <c r="K37" s="1"/>
    </row>
    <row r="39" ht="15" customHeight="1">
      <c r="A39" s="1" t="str">
        <v>Approval Signatures</v>
      </c>
      <c r="B39" s="1"/>
      <c r="C39" s="1"/>
      <c r="D39" s="1"/>
      <c r="E39" s="1"/>
      <c r="F39" s="1"/>
      <c r="G39" s="1"/>
      <c r="H39" s="1"/>
      <c r="I39" s="1"/>
      <c r="J39" s="1"/>
      <c r="K39" s="1"/>
    </row>
    <row r="40" ht="15" customHeight="1">
      <c r="A40" s="1" t="str">
        <v>Role</v>
      </c>
      <c r="B40" s="1" t="str">
        <v>Name</v>
      </c>
      <c r="C40" s="1" t="str">
        <v>Signature</v>
      </c>
      <c r="D40" s="1" t="str">
        <v>Date</v>
      </c>
    </row>
    <row r="41" ht="25.5" customHeight="1">
      <c r="A41" s="1" t="str">
        <v>{approvingOfficialTitle}</v>
      </c>
      <c r="B41" s="1"/>
      <c r="C41" s="1"/>
      <c r="D41" s="1"/>
    </row>
    <row r="42" ht="25.5" customHeight="1">
      <c r="A42" s="1" t="str">
        <v>{ownerRole}</v>
      </c>
      <c r="B42" s="1"/>
      <c r="C42" s="1"/>
      <c r="D42" s="1"/>
    </row>
    <row r="44" ht="15" customHeight="1">
      <c r="A44" s="1" t="str">
        <v>Revision History</v>
      </c>
      <c r="B44" s="1"/>
      <c r="C44" s="1"/>
      <c r="D44" s="1"/>
      <c r="E44" s="1"/>
      <c r="F44" s="1"/>
      <c r="G44" s="1"/>
      <c r="H44" s="1"/>
      <c r="I44" s="1"/>
      <c r="J44" s="1"/>
      <c r="K44" s="1"/>
    </row>
    <row r="45" ht="15" customHeight="1">
      <c r="A45" s="1" t="str">
        <v>Version</v>
      </c>
      <c r="B45" s="1" t="str">
        <v>Date</v>
      </c>
      <c r="C45" s="1" t="str">
        <v>Author</v>
      </c>
      <c r="D45" s="1" t="str">
        <v>Summary of Change</v>
      </c>
    </row>
    <row r="46" ht="15" customHeight="1">
      <c r="A46" s="1" t="str">
        <v>{version}</v>
      </c>
      <c r="B46" s="1" t="str">
        <v>{effectiveDate}</v>
      </c>
      <c r="C46" s="1" t="str">
        <v>{reviewerRole}</v>
      </c>
      <c r="D46" s="1" t="str">
        <v>{revisionNote}</v>
      </c>
    </row>
    <row r="48" ht="60" customHeight="1">
      <c r="A48" s="1" t="str">
        <v>Drafter’s note (internal, delete before publishing): Classification values must match the Data Classification Policy. Retention references point to the Data Retention Schedule and Document Handling Standard; do not restate them. Confirm which data types are CJIS-regulated (typically those reached via IDACS).</v>
      </c>
      <c r="B48" s="1"/>
      <c r="C48" s="1"/>
      <c r="D48" s="1"/>
      <c r="E48" s="1"/>
      <c r="F48" s="1"/>
      <c r="G48" s="1"/>
      <c r="H48" s="1"/>
      <c r="I48" s="1"/>
      <c r="J48" s="1"/>
      <c r="K48" s="1"/>
    </row>
  </sheetData>
  <mergeCells count="27">
    <mergeCell ref="A1:K1"/>
    <mergeCell ref="A3:B3"/>
    <mergeCell ref="C3:K3"/>
    <mergeCell ref="A4:B4"/>
    <mergeCell ref="C4:K4"/>
    <mergeCell ref="A5:B5"/>
    <mergeCell ref="C5:K5"/>
    <mergeCell ref="A6:B6"/>
    <mergeCell ref="C6:K6"/>
    <mergeCell ref="A7:B7"/>
    <mergeCell ref="C7:K7"/>
    <mergeCell ref="A9:K9"/>
    <mergeCell ref="A10:K10"/>
    <mergeCell ref="A18:K18"/>
    <mergeCell ref="A26:K26"/>
    <mergeCell ref="A27:K27"/>
    <mergeCell ref="A29:K29"/>
    <mergeCell ref="A30:K30"/>
    <mergeCell ref="A32:K32"/>
    <mergeCell ref="A33:K33"/>
    <mergeCell ref="A34:K34"/>
    <mergeCell ref="A35:K35"/>
    <mergeCell ref="A36:K36"/>
    <mergeCell ref="A37:K37"/>
    <mergeCell ref="A39:K39"/>
    <mergeCell ref="A44:K44"/>
    <mergeCell ref="A48:K48"/>
  </mergeCells>
  <pageMargins left="0.75" right="0.75" top="1" bottom="1" header="0.511811023622047" footer="0.511811023622047"/>
  <ignoredErrors>
    <ignoredError numberStoredAsText="1" sqref="A1:K48"/>
  </ignoredErrors>
</worksheet>
</file>

<file path=xl/worksheets/sheet2.xml><?xml version="1.0" encoding="utf-8"?>
<worksheet xmlns="http://schemas.openxmlformats.org/spreadsheetml/2006/main" xmlns:r="http://schemas.openxmlformats.org/officeDocument/2006/relationships">
  <dimension ref="A1:D16"/>
  <sheetViews>
    <sheetView workbookViewId="0" rightToLeft="0"/>
  </sheetViews>
  <cols>
    <col min="1" max="1" customWidth="1" width="26" level="0" outlineLevel="0"/>
    <col min="2" max="2" customWidth="1" width="60" level="0" outlineLevel="0"/>
    <col min="3" max="3" customWidth="1" width="12" level="0" outlineLevel="0"/>
    <col min="4" max="4" customWidth="1" width="34" level="0" outlineLevel="0"/>
  </cols>
  <sheetData>
    <row r="1" ht="17.25" customHeight="1">
      <c r="A1" s="1" t="str">
        <v>Column Instructions &amp; How to Use</v>
      </c>
      <c r="B1" s="1"/>
      <c r="C1" s="1"/>
      <c r="D1" s="1"/>
    </row>
    <row r="2" ht="43.5" customHeight="1">
      <c r="A2" s="1" t="str">
        <v>How to use: this map lists every type of data the agency holds and the controls that protect each. Fill the header block, then one row per data type. The Summary counts entries by classification and flags overdue reconciliations.</v>
      </c>
      <c r="B2" s="1"/>
      <c r="C2" s="1"/>
      <c r="D2" s="1"/>
    </row>
    <row r="3" ht="30" customHeight="1">
      <c r="A3" s="1" t="str">
        <v>Placeholder key:  [BRACKETED] = fill in   ·   « » = guidance to delete.  Classification is a minimum; an adopting agency may raise it but not lower it.</v>
      </c>
      <c r="B3" s="1"/>
      <c r="C3" s="1"/>
      <c r="D3" s="1"/>
    </row>
    <row r="5" ht="15" customHeight="1">
      <c r="A5" s="1" t="str">
        <v>Column</v>
      </c>
      <c r="B5" s="1" t="str">
        <v>What it holds</v>
      </c>
      <c r="C5" s="1" t="str">
        <v>Required?</v>
      </c>
      <c r="D5" s="1" t="str">
        <v>Example value</v>
      </c>
    </row>
    <row r="6" ht="30" customHeight="1">
      <c r="A6" s="1" t="str">
        <v>ID</v>
      </c>
      <c r="B6" s="1" t="str">
        <v>Stable, unique identifier for the data type. Does not change once assigned.</v>
      </c>
      <c r="C6" s="1" t="str">
        <v>Required</v>
      </c>
      <c r="D6" s="1" t="str">
        <v>DAT-014</v>
      </c>
    </row>
    <row r="7" ht="30" customHeight="1">
      <c r="A7" s="1" t="str">
        <v>Data Type / Category</v>
      </c>
      <c r="B7" s="1" t="str">
        <v>Plain-language name of the data this row describes.</v>
      </c>
      <c r="C7" s="1" t="str">
        <v>Required</v>
      </c>
      <c r="D7" s="1" t="str">
        <v>Caller location (ALI)</v>
      </c>
    </row>
    <row r="8" ht="30" customHeight="1">
      <c r="A8" s="1" t="str">
        <v>Owning System</v>
      </c>
      <c r="B8" s="1" t="str">
        <v>System of record that holds or processes the data.</v>
      </c>
      <c r="C8" s="1" t="str">
        <v>Required</v>
      </c>
      <c r="D8" s="1" t="str">
        <v>CAD / ESInet</v>
      </c>
    </row>
    <row r="9" ht="30" customHeight="1">
      <c r="A9" s="1" t="str">
        <v>Classification</v>
      </c>
      <c r="B9" s="1" t="str">
        <v>Sensitivity per the Data Classification Policy. Append “/ CJIS” where applicable.</v>
      </c>
      <c r="C9" s="1" t="str">
        <v>Required</v>
      </c>
      <c r="D9" s="1" t="str">
        <v>Restricted / CJIS</v>
      </c>
    </row>
    <row r="10" ht="30" customHeight="1">
      <c r="A10" s="1" t="str">
        <v>Data Owner (Role)</v>
      </c>
      <c r="B10" s="1" t="str">
        <v>Role accountable for the data. A role, never a person’s name.</v>
      </c>
      <c r="C10" s="1" t="str">
        <v>Required</v>
      </c>
      <c r="D10" s="1" t="str">
        <v>Operations supervisor</v>
      </c>
    </row>
    <row r="11" ht="30" customHeight="1">
      <c r="A11" s="1" t="str">
        <v>Encryption Mechanism</v>
      </c>
      <c r="B11" s="1" t="str">
        <v>How the data is protected in transit and at rest (as built).</v>
      </c>
      <c r="C11" s="1" t="str">
        <v>Required</v>
      </c>
      <c r="D11" s="1" t="str">
        <v>TLS in transit; AES-256 at rest</v>
      </c>
    </row>
    <row r="12" ht="30" customHeight="1">
      <c r="A12" s="1" t="str">
        <v>Access-Restriction Method</v>
      </c>
      <c r="B12" s="1" t="str">
        <v>How access is limited (as built).</v>
      </c>
      <c r="C12" s="1" t="str">
        <v>Required</v>
      </c>
      <c r="D12" s="1" t="str">
        <v>RBAC; need-to-know</v>
      </c>
    </row>
    <row r="13" ht="30" customHeight="1">
      <c r="A13" s="1" t="str">
        <v>Retention Reference</v>
      </c>
      <c r="B13" s="1" t="str">
        <v>Pointer to the retention rule. Do not restate it here.</v>
      </c>
      <c r="C13" s="1" t="str">
        <v>Required</v>
      </c>
      <c r="D13" s="1" t="str">
        <v>See Data Retention Schedule</v>
      </c>
    </row>
    <row r="14" ht="30" customHeight="1">
      <c r="A14" s="1" t="str">
        <v>Lifecycle Stage</v>
      </c>
      <c r="B14" s="1" t="str">
        <v>Dropdown: Active, Under Review, Retired.</v>
      </c>
      <c r="C14" s="1" t="str">
        <v>Required</v>
      </c>
      <c r="D14" s="1" t="str">
        <v>Active</v>
      </c>
    </row>
    <row r="15" ht="30" customHeight="1">
      <c r="A15" s="1" t="str">
        <v>Last Reconciled</v>
      </c>
      <c r="B15" s="1" t="str">
        <v>Date the entry was last verified against the system of record.</v>
      </c>
      <c r="C15" s="1" t="str">
        <v>Required</v>
      </c>
      <c r="D15" s="1" t="str">
        <v>2026-03-01</v>
      </c>
    </row>
    <row r="16" ht="30" customHeight="1">
      <c r="A16" s="1" t="str">
        <v>Next Reconcile Due</v>
      </c>
      <c r="B16" s="1" t="str">
        <v>Date the entry must next be reconciled. Drives the past-due count.</v>
      </c>
      <c r="C16" s="1" t="str">
        <v>Required</v>
      </c>
      <c r="D16" s="1" t="str">
        <v>2026-09-01</v>
      </c>
    </row>
  </sheetData>
  <mergeCells count="3">
    <mergeCell ref="A1:D1"/>
    <mergeCell ref="A2:D2"/>
    <mergeCell ref="A3:D3"/>
  </mergeCells>
  <pageMargins left="0.75" right="0.75" top="1" bottom="1" header="0.511811023622047" footer="0.511811023622047"/>
  <ignoredErrors>
    <ignoredError numberStoredAsText="1" sqref="A1:D16"/>
  </ignoredErrors>
</worksheet>
</file>

<file path=docProps/app.xml><?xml version="1.0" encoding="utf-8"?>
<Properties xmlns="http://schemas.openxmlformats.org/officeDocument/2006/extended-properties" xmlns:vt="http://schemas.openxmlformats.org/officeDocument/2006/docPropsVTypes">
  <Application>SheetJS</Application>
  <AppVersion>15.0000</AppVersion>
  <HyperlinksChanged>false</HyperlinksChanged>
  <SharedDoc>false</SharedDoc>
  <LinksUpToDate>false</LinksUpToDate>
  <ScaleCrop>false</ScaleCrop>
  <HeadingPairs>
    <vt:vector size="2" baseType="variant">
      <vt:variant>
        <vt:lpstr>Worksheets</vt:lpstr>
      </vt:variant>
      <vt:variant>
        <vt:i4>2</vt:i4>
      </vt:variant>
    </vt:vector>
  </HeadingPairs>
  <TitlesOfParts>
    <vt:vector size="2" baseType="lpstr">
      <vt:lpstr>Register</vt:lpstr>
      <vt:lpstr>Column Instructions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2026-06-04T13:36:25Z</dcterms:created>
  <dcterms:modified xsi:type="dcterms:W3CDTF">2026-06-04T16:29:34Z</dcterms:modified>
  <cp:revision>0</cp:revision>
  <dc:creator>openpyxl</dc:creator>
  <dc:language>en-US</dc:language>
</cp:coreProperties>
</file>
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bookViews>
  <sheets>
    <sheet name="Register" sheetId="1" state="visible" r:id="rId3"/>
    <sheet name="Column Instructions" sheetId="2" state="visible" r:id="rId4"/>
  </sheets>
  <definedNames>
    <definedName name="_xlnm.Print_Titles" localSheetId="0">Register!$11:$11</definedName>
  </definedNames>
  <calcPr calcId="191029"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<sst xmlns="http://schemas.openxmlformats.org/spreadsheetml/2006/main" count="164" uniqueCount="118">
  <si>
    <t xml:space="preserve">Data Inventory / Data Map</t>
  </si>
  <si>
    <t xml:space="preserve">Authority</t>
  </si>
  <si>
    <t xml:space="preserve">Adopted by [Agency Name] under the authority of [signing official / title].</t>
  </si>
  <si>
    <t xml:space="preserve">Owner</t>
  </si>
  <si>
    <t xml:space="preserve">[Role title]   « use a role, not a person’s name »</t>
  </si>
  <si>
    <t xml:space="preserve">Version / Dates</t>
  </si>
  <si>
    <t xml:space="preserve">Version [#]      Effective Date [Date]      Next Review [Date]</t>
  </si>
  <si>
    <t xml:space="preserve">Classification</t>
  </si>
  <si>
    <t xml:space="preserve">Restricted / CJIS   « Minimum. Raise an individual row to Confidential where the data type includes PII. »</t>
  </si>
  <si>
    <t xml:space="preserve">Reconciliation cadence</t>
  </si>
  <si>
    <t xml:space="preserve">Reconciled at least [annually] by the [Owner role]; entries kept current on a set cadence.</t>
  </si>
  <si>
    <t xml:space="preserve">Register Entries</t>
  </si>
  <si>
    <t xml:space="preserve">« One row per data type. Map each to its owning system, classification, and the controls that protect it. Classification values must match the Data Classification Policy. »</t>
  </si>
  <si>
    <t xml:space="preserve">ID</t>
  </si>
  <si>
    <t xml:space="preserve">Data Type / Category</t>
  </si>
  <si>
    <t xml:space="preserve">Owning System</t>
  </si>
  <si>
    <t xml:space="preserve">Data Owner (Role)</t>
  </si>
  <si>
    <t xml:space="preserve">Encryption Mechanism</t>
  </si>
  <si>
    <t xml:space="preserve">Access-Restriction Method</t>
  </si>
  <si>
    <t xml:space="preserve">Retention Reference</t>
  </si>
  <si>
    <t xml:space="preserve">Lifecycle Stage</t>
  </si>
  <si>
    <t xml:space="preserve">Last Reconciled</t>
  </si>
  <si>
    <t xml:space="preserve">Next Reconcile Due</t>
  </si>
  <si>
    <t xml:space="preserve">DAT-001</t>
  </si>
  <si>
    <t xml:space="preserve">[ALI / caller location data]</t>
  </si>
  <si>
    <t xml:space="preserve">[CAD / ESInet]</t>
  </si>
  <si>
    <t xml:space="preserve">Restricted</t>
  </si>
  <si>
    <t xml:space="preserve">[Data owner role]</t>
  </si>
  <si>
    <t xml:space="preserve">[TLS in transit; AES-256 at rest]</t>
  </si>
  <si>
    <t xml:space="preserve">[RBAC; need-to-know]</t>
  </si>
  <si>
    <t xml:space="preserve">[See Data Retention Schedule]</t>
  </si>
  <si>
    <t xml:space="preserve">Active</t>
  </si>
  <si>
    <t xml:space="preserve">[YYYY-MM-DD]</t>
  </si>
  <si>
    <t xml:space="preserve">DAT-002</t>
  </si>
  <si>
    <t xml:space="preserve">[Criminal justice information (CHRI)]</t>
  </si>
  <si>
    <t xml:space="preserve">[IDACS workstation / query logs]</t>
  </si>
  <si>
    <t xml:space="preserve">Confidential / CJIS</t>
  </si>
  <si>
    <t xml:space="preserve">[FIPS 140-validated encryption]</t>
  </si>
  <si>
    <t xml:space="preserve">[IDACS-authorized users only]</t>
  </si>
  <si>
    <t xml:space="preserve">[Retention per CJIS / IDACS]</t>
  </si>
  <si>
    <t xml:space="preserve">DAT-003</t>
  </si>
  <si>
    <t xml:space="preserve">[Recorded 911 call audio]</t>
  </si>
  <si>
    <t xml:space="preserve">[Logging recorder]</t>
  </si>
  <si>
    <t xml:space="preserve">[Encrypted at rest]</t>
  </si>
  <si>
    <t xml:space="preserve">[Supervisor + records roles]</t>
  </si>
  <si>
    <t xml:space="preserve">DAT-004</t>
  </si>
  <si>
    <t xml:space="preserve">[Personnel records]</t>
  </si>
  <si>
    <t xml:space="preserve">[HR system]</t>
  </si>
  <si>
    <t xml:space="preserve">Confidential</t>
  </si>
  <si>
    <t xml:space="preserve">[HR + director only]</t>
  </si>
  <si>
    <t xml:space="preserve">[Per records retention]</t>
  </si>
  <si>
    <t xml:space="preserve">[Add data types as needed]</t>
  </si>
  <si>
    <t xml:space="preserve">[Data type]</t>
  </si>
  <si>
    <t xml:space="preserve">[Owning system]</t>
  </si>
  <si>
    <t xml:space="preserve">[Classification]</t>
  </si>
  <si>
    <t xml:space="preserve">[Role]</t>
  </si>
  <si>
    <t xml:space="preserve">[Mechanism]</t>
  </si>
  <si>
    <t xml:space="preserve">[Method]</t>
  </si>
  <si>
    <t xml:space="preserve">[Reference]</t>
  </si>
  <si>
    <t xml:space="preserve">Summary</t>
  </si>
  <si>
    <t xml:space="preserve">Total data types</t>
  </si>
  <si>
    <t xml:space="preserve">Internal</t>
  </si>
  <si>
    <t xml:space="preserve">CJIS-bearing types</t>
  </si>
  <si>
    <t xml:space="preserve">Past due for reconciliation</t>
  </si>
  <si>
    <t xml:space="preserve">CJIS Handling</t>
  </si>
  <si>
    <t xml:space="preserve">CJIS Handling: Data types marked “/ CJIS” contain CJIS-regulated data, in Indiana reached through IDACS. Apply CJIS Security Policy v5.9 §5.5 (Access Control) and §5.10 (System and Communications Protection), and 240 IAC 5, to those types in addition to the controls recorded above.</t>
  </si>
  <si>
    <t xml:space="preserve">Downstream Use</t>
  </si>
  <si>
    <t xml:space="preserve">This data map sets the classification and protection baseline that the Data Retention Schedule, Document Handling Standard, and Encryption Standards Document implement. Reference those documents for the detail; this map does not restate them.</t>
  </si>
  <si>
    <t xml:space="preserve">Source Authority</t>
  </si>
  <si>
    <t xml:space="preserve">« List only the authorities that map to this artifact. Group by authority; order numerically. No padding. »</t>
  </si>
  <si>
    <t xml:space="preserve">NENA-STA-040.2-2024: §4.1.4, §4.2.2, §5.4</t>
  </si>
  <si>
    <t xml:space="preserve">NIST SP 800-53 Rev. 5: CM-8, MP-4, PM-5, RA-2, SC-28</t>
  </si>
  <si>
    <t xml:space="preserve">Indiana statutes and administrative code: IC 24-4.9: Data Breach Notification; 240 IAC 5: IDACS Security (for CJIS-bearing types)</t>
  </si>
  <si>
    <t xml:space="preserve">CJIS Security Policy v5.9: §5.5, §5.10  (CJIS-regulated data in scope via IDACS)</t>
  </si>
  <si>
    <t xml:space="preserve">Approval Signatures</t>
  </si>
  <si>
    <t xml:space="preserve">Role</t>
  </si>
  <si>
    <t xml:space="preserve">Name</t>
  </si>
  <si>
    <t xml:space="preserve">Signature</t>
  </si>
  <si>
    <t xml:space="preserve">Date</t>
  </si>
  <si>
    <t xml:space="preserve">[Approving official / title]</t>
  </si>
  <si>
    <t xml:space="preserve">[Owner role]</t>
  </si>
  <si>
    <t xml:space="preserve">Revision History</t>
  </si>
  <si>
    <t xml:space="preserve">Version</t>
  </si>
  <si>
    <t xml:space="preserve">Author</t>
  </si>
  <si>
    <t xml:space="preserve">Summary of Change</t>
  </si>
  <si>
    <t xml:space="preserve">[#]</t>
  </si>
  <si>
    <t xml:space="preserve">[Date]</t>
  </si>
  <si>
    <t xml:space="preserve">[Initial issue]</t>
  </si>
  <si>
    <t xml:space="preserve">Drafter’s note (internal, delete before publishing): Classification values must match the Data Classification Policy. Retention references point to the Data Retention Schedule and Document Handling Standard; do not restate them. Confirm which data types are CJIS-regulated (typically those reached via IDACS).</t>
  </si>
  <si>
    <t xml:space="preserve">Column Instructions &amp; How to Use</t>
  </si>
  <si>
    <t xml:space="preserve">How to use: this map lists every type of data the agency holds and the controls that protect each. Fill the header block, then one row per data type. The Summary counts entries by classification and flags overdue reconciliations.</t>
  </si>
  <si>
    <t xml:space="preserve">Placeholder key:  [BRACKETED] = fill in   ·   « » = guidance to delete.  Classification is a minimum; an adopting agency may raise it but not lower it.</t>
  </si>
  <si>
    <t xml:space="preserve">Column</t>
  </si>
  <si>
    <t xml:space="preserve">What it holds</t>
  </si>
  <si>
    <t xml:space="preserve">Required?</t>
  </si>
  <si>
    <t xml:space="preserve">Example value</t>
  </si>
  <si>
    <t xml:space="preserve">Stable, unique identifier for the data type. Does not change once assigned.</t>
  </si>
  <si>
    <t xml:space="preserve">Required</t>
  </si>
  <si>
    <t xml:space="preserve">DAT-014</t>
  </si>
  <si>
    <t xml:space="preserve">Plain-language name of the data this row describes.</t>
  </si>
  <si>
    <t xml:space="preserve">Caller location (ALI)</t>
  </si>
  <si>
    <t xml:space="preserve">System of record that holds or processes the data.</t>
  </si>
  <si>
    <t xml:space="preserve">CAD / ESInet</t>
  </si>
  <si>
    <t xml:space="preserve">Sensitivity per the Data Classification Policy. Append “/ CJIS” where applicable.</t>
  </si>
  <si>
    <t xml:space="preserve">Restricted / CJIS</t>
  </si>
  <si>
    <t xml:space="preserve">Role accountable for the data. A role, never a person’s name.</t>
  </si>
  <si>
    <t xml:space="preserve">Operations supervisor</t>
  </si>
  <si>
    <t xml:space="preserve">How the data is protected in transit and at rest (as built).</t>
  </si>
  <si>
    <t xml:space="preserve">TLS in transit; AES-256 at rest</t>
  </si>
  <si>
    <t xml:space="preserve">How access is limited (as built).</t>
  </si>
  <si>
    <t xml:space="preserve">RBAC; need-to-know</t>
  </si>
  <si>
    <t xml:space="preserve">Pointer to the retention rule. Do not restate it here.</t>
  </si>
  <si>
    <t xml:space="preserve">See Data Retention Schedule</t>
  </si>
  <si>
    <t xml:space="preserve">Dropdown: Active, Under Review, Retired.</t>
  </si>
  <si>
    <t xml:space="preserve">Date the entry was last verified against the system of record.</t>
  </si>
  <si>
    <t xml:space="preserve">2026-03-01</t>
  </si>
  <si>
    <t xml:space="preserve">Date the entry must next be reconciled. Drives the past-due count.</t>
  </si>
  <si>
    <t xml:space="preserve">2026-09-01</t>
  </si>
</sst>
</file>

<file path=xl/styles.xml><?xml version="1.0" encoding="utf-8"?>
<styleSheet xmlns="http://schemas.openxmlformats.org/spreadsheetml/2006/main">
  <numFmts count="2">
    <numFmt numFmtId="164" formatCode="General"/>
    <numFmt numFmtId="165" formatCode="yyyy-mm-dd"/>
  </numFmts>
  <fonts count="14">
    <font>
      <sz val="11"/>
      <color theme="1"/>
      <name val="Aptos"/>
      <family val="2"/>
      <charset val="1"/>
    </font>
    <font>
      <sz val="10"/>
      <name val="Aptos"/>
      <family val="0"/>
    </font>
    <font>
      <sz val="10"/>
      <name val="Aptos"/>
      <family val="0"/>
    </font>
    <font>
      <sz val="10"/>
      <name val="Aptos"/>
      <family val="0"/>
    </font>
    <font>
      <b val="true"/>
      <sz val="16"/>
      <color rgb="FFFFFFFF"/>
      <name val="Aptos"/>
      <family val="0"/>
      <charset val="1"/>
    </font>
    <font>
      <b val="true"/>
      <sz val="12"/>
      <color rgb="FF1B3A5C"/>
      <name val="Aptos"/>
      <family val="0"/>
      <charset val="1"/>
    </font>
    <font>
      <sz val="12"/>
      <color rgb="FF000000"/>
      <name val="Aptos"/>
      <family val="0"/>
      <charset val="1"/>
    </font>
    <font>
      <i val="true"/>
      <sz val="11"/>
      <color rgb="FF595959"/>
      <name val="Aptos"/>
      <family val="0"/>
      <charset val="1"/>
    </font>
    <font>
      <b val="true"/>
      <sz val="12"/>
      <color rgb="FFFFFFFF"/>
      <name val="Aptos"/>
      <family val="0"/>
      <charset val="1"/>
    </font>
    <font>
      <b val="true"/>
      <sz val="14"/>
      <color rgb="FF1B3A5C"/>
      <name val="Aptos"/>
      <family val="0"/>
      <charset val="1"/>
    </font>
    <font>
      <b/>
      <sz val="12"/>
      <color rgb="FFFFFFFF"/>
      <name val="Aptos"/>
    </font>
    <font>
      <i/>
      <sz val="11"/>
      <color rgb="FF595959"/>
      <name val="Aptos"/>
    </font>
    <font>
      <b/>
      <sz val="12"/>
      <color rgb="FF000000"/>
      <name val="Aptos"/>
    </font>
    <font>
      <sz val="12"/>
      <color rgb="FF000000"/>
      <name val="Aptos"/>
    </font>
  </fonts>
  <fills count="5">
    <fill>
      <patternFill patternType="none"/>
    </fill>
    <fill>
      <patternFill patternType="gray125"/>
    </fill>
    <fill>
      <patternFill patternType="solid">
        <fgColor rgb="FF1B3A5C"/>
        <bgColor rgb="FF333333"/>
      </patternFill>
    </fill>
    <fill>
      <patternFill patternType="solid">
        <fgColor rgb="FFEEF2F7"/>
        <bgColor rgb="FFFFFFFF"/>
      </patternFill>
    </fill>
    <fill>
      <patternFill patternType="solid">
        <fgColor rgb="FF1B3A5C"/>
        <bgColor indexed="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0" fontId="10" fillId="4" borderId="1" xfId="0" applyFont="1" applyFill="1" applyBorder="1" applyAlignment="1">
      <alignment horizontal="center" vertical="center" wrapText="1"/>
    </xf>
    <xf numFmtId="0" fontId="11" fillId="0" borderId="0" xfId="0" applyFont="1" applyAlignment="1">
      <alignment horizontal="left" vertical="center"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applyNumberFormat="1" numFmtId="165" fontId="6"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2F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1"/>
  </sheetPr>
  <dimension ref="A1:K48"/>
  <sheetViews>
    <sheetView showFormulas="false" showGridLines="0" showRowColHeaders="true" showZeros="true" rightToLeft="false" tabSelected="true" showOutlineSymbols="true" defaultGridColor="true" view="normal" colorId="64" zoomScale="100" zoomScaleNormal="100" zoomScalePageLayoutView="100" workbookViewId="0">
      <pane xSplit="0" ySplit="11" topLeftCell="A12" activePane="bottomLeft" state="frozen"/>
      <selection pane="topLeft" activeCell="A12" activeCellId="0" sqref="A12"/>
      <selection pane="bottomLeft" activeCell="A12" activeCellId="0" sqref="A12"/>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3" min="3" style="1" width="22"/>
    <col collapsed="false" customWidth="true" hidden="false" outlineLevel="0" max="4" min="4" style="1" width="18"/>
    <col collapsed="false" customWidth="true" hidden="false" outlineLevel="0" max="5" min="5" style="1" width="20"/>
    <col collapsed="false" customWidth="true" hidden="false" outlineLevel="0" max="8" min="6" style="1" width="24"/>
    <col collapsed="false" customWidth="true" hidden="false" outlineLevel="0" max="11" min="9" style="1" width="16"/>
  </cols>
  <sheetData>
    <row r="1" customFormat="false" ht="25.5" hidden="false" customHeight="true" outlineLevel="0" collapsed="false">
      <c r="A1" s="2" t="s">
        <v>0</v>
      </c>
      <c r="B1" s="2"/>
      <c r="C1" s="2"/>
      <c r="D1" s="2"/>
      <c r="E1" s="2"/>
      <c r="F1" s="2"/>
      <c r="G1" s="2"/>
      <c r="H1" s="2"/>
      <c r="I1" s="2"/>
      <c r="J1" s="2"/>
      <c r="K1" s="2"/>
    </row>
    <row r="3" customFormat="false" ht="30" hidden="false" customHeight="true" outlineLevel="0" collapsed="false">
      <c r="A3" s="3" t="s">
        <v>1</v>
      </c>
      <c r="B3" s="3"/>
      <c r="C3" s="4" t="s">
        <v>2</v>
      </c>
      <c r="D3" s="4"/>
      <c r="E3" s="4"/>
      <c r="F3" s="4"/>
      <c r="G3" s="4"/>
      <c r="H3" s="4"/>
      <c r="I3" s="4"/>
      <c r="J3" s="4"/>
      <c r="K3" s="4"/>
    </row>
    <row r="4" customFormat="false" ht="30" hidden="false" customHeight="true" outlineLevel="0" collapsed="false">
      <c r="A4" s="3" t="s">
        <v>3</v>
      </c>
      <c r="B4" s="3"/>
      <c r="C4" s="4" t="s">
        <v>4</v>
      </c>
      <c r="D4" s="4"/>
      <c r="E4" s="4"/>
      <c r="F4" s="4"/>
      <c r="G4" s="4"/>
      <c r="H4" s="4"/>
      <c r="I4" s="4"/>
      <c r="J4" s="4"/>
      <c r="K4" s="4"/>
    </row>
    <row r="5" customFormat="false" ht="30" hidden="false" customHeight="true" outlineLevel="0" collapsed="false">
      <c r="A5" s="3" t="s">
        <v>5</v>
      </c>
      <c r="B5" s="3"/>
      <c r="C5" s="4" t="s">
        <v>6</v>
      </c>
      <c r="D5" s="4"/>
      <c r="E5" s="4"/>
      <c r="F5" s="4"/>
      <c r="G5" s="4"/>
      <c r="H5" s="4"/>
      <c r="I5" s="4"/>
      <c r="J5" s="4"/>
      <c r="K5" s="4"/>
    </row>
    <row r="6" customFormat="false" ht="30" hidden="false" customHeight="true" outlineLevel="0" collapsed="false">
      <c r="A6" s="3" t="s">
        <v>7</v>
      </c>
      <c r="B6" s="3"/>
      <c r="C6" s="4" t="s">
        <v>8</v>
      </c>
      <c r="D6" s="4"/>
      <c r="E6" s="4"/>
      <c r="F6" s="4"/>
      <c r="G6" s="4"/>
      <c r="H6" s="4"/>
      <c r="I6" s="4"/>
      <c r="J6" s="4"/>
      <c r="K6" s="4"/>
    </row>
    <row r="7" customFormat="false" ht="30" hidden="false" customHeight="true" outlineLevel="0" collapsed="false">
      <c r="A7" s="3" t="s">
        <v>9</v>
      </c>
      <c r="B7" s="3"/>
      <c r="C7" s="4" t="s">
        <v>10</v>
      </c>
      <c r="D7" s="4"/>
      <c r="E7" s="4"/>
      <c r="F7" s="4"/>
      <c r="G7" s="4"/>
      <c r="H7" s="4"/>
      <c r="I7" s="4"/>
      <c r="J7" s="4"/>
      <c r="K7" s="4"/>
    </row>
    <row r="9" customFormat="false" ht="15" hidden="false" customHeight="true" outlineLevel="0" collapsed="false">
      <c r="A9" s="5" t="s">
        <v>11</v>
      </c>
      <c r="B9" s="5"/>
      <c r="C9" s="5"/>
      <c r="D9" s="5"/>
      <c r="E9" s="5"/>
      <c r="F9" s="5"/>
      <c r="G9" s="5"/>
      <c r="H9" s="5"/>
      <c r="I9" s="5"/>
      <c r="J9" s="5"/>
      <c r="K9" s="5"/>
    </row>
    <row r="10" customFormat="false" ht="27.75" hidden="false" customHeight="true" outlineLevel="0" collapsed="false">
      <c r="A10" s="6" t="s">
        <v>12</v>
      </c>
      <c r="B10" s="6"/>
      <c r="C10" s="6"/>
      <c r="D10" s="6"/>
      <c r="E10" s="6"/>
      <c r="F10" s="6"/>
      <c r="G10" s="6"/>
      <c r="H10" s="6"/>
      <c r="I10" s="6"/>
      <c r="J10" s="6"/>
      <c r="K10" s="6"/>
    </row>
    <row r="11" customFormat="false" ht="39.75" hidden="false" customHeight="true" outlineLevel="0" collapsed="false">
      <c r="A11" s="7" t="s">
        <v>13</v>
      </c>
      <c r="B11" s="7" t="s">
        <v>14</v>
      </c>
      <c r="C11" s="7" t="s">
        <v>15</v>
      </c>
      <c r="D11" s="7" t="s">
        <v>7</v>
      </c>
      <c r="E11" s="7" t="s">
        <v>16</v>
      </c>
      <c r="F11" s="7" t="s">
        <v>17</v>
      </c>
      <c r="G11" s="7" t="s">
        <v>18</v>
      </c>
      <c r="H11" s="7" t="s">
        <v>19</v>
      </c>
      <c r="I11" s="7" t="s">
        <v>20</v>
      </c>
      <c r="J11" s="7" t="s">
        <v>21</v>
      </c>
      <c r="K11" s="7" t="s">
        <v>22</v>
      </c>
    </row>
    <row r="12" customFormat="false" hidden="false" outlineLevel="0" collapsed="false" ht="34.7" customHeight="1">
      <c r="A12" s="8" t="s">
        <v>23</v>
      </c>
      <c r="B12" s="8" t="s">
        <v>24</v>
      </c>
      <c r="C12" s="8" t="s">
        <v>25</v>
      </c>
      <c r="D12" s="8" t="s">
        <v>26</v>
      </c>
      <c r="E12" s="8" t="s">
        <v>27</v>
      </c>
      <c r="F12" s="8" t="s">
        <v>28</v>
      </c>
      <c r="G12" s="8" t="s">
        <v>29</v>
      </c>
      <c r="H12" s="8" t="s">
        <v>30</v>
      </c>
      <c r="I12" s="8" t="s">
        <v>31</v>
      </c>
      <c r="J12" s="8" t="s">
        <v>32</v>
      </c>
      <c r="K12" s="8" t="s">
        <v>32</v>
      </c>
    </row>
    <row r="13" customFormat="false" hidden="false" outlineLevel="0" collapsed="false" ht="34.7" customHeight="1">
      <c r="A13" s="8" t="s">
        <v>33</v>
      </c>
      <c r="B13" s="8" t="s">
        <v>34</v>
      </c>
      <c r="C13" s="8" t="s">
        <v>35</v>
      </c>
      <c r="D13" s="8" t="s">
        <v>36</v>
      </c>
      <c r="E13" s="8" t="s">
        <v>27</v>
      </c>
      <c r="F13" s="8" t="s">
        <v>37</v>
      </c>
      <c r="G13" s="8" t="s">
        <v>38</v>
      </c>
      <c r="H13" s="8" t="s">
        <v>39</v>
      </c>
      <c r="I13" s="8" t="s">
        <v>31</v>
      </c>
      <c r="J13" s="8" t="s">
        <v>32</v>
      </c>
      <c r="K13" s="8" t="s">
        <v>32</v>
      </c>
    </row>
    <row r="14" customFormat="false" hidden="false" outlineLevel="0" collapsed="false" ht="34.7" customHeight="1">
      <c r="A14" s="8" t="s">
        <v>40</v>
      </c>
      <c r="B14" s="8" t="s">
        <v>41</v>
      </c>
      <c r="C14" s="8" t="s">
        <v>42</v>
      </c>
      <c r="D14" s="8" t="s">
        <v>26</v>
      </c>
      <c r="E14" s="8" t="s">
        <v>27</v>
      </c>
      <c r="F14" s="8" t="s">
        <v>43</v>
      </c>
      <c r="G14" s="8" t="s">
        <v>44</v>
      </c>
      <c r="H14" s="8" t="s">
        <v>30</v>
      </c>
      <c r="I14" s="8" t="s">
        <v>31</v>
      </c>
      <c r="J14" s="8" t="s">
        <v>32</v>
      </c>
      <c r="K14" s="8" t="s">
        <v>32</v>
      </c>
    </row>
    <row r="15" customFormat="false" ht="27.75" hidden="false" customHeight="true" outlineLevel="0" collapsed="false">
      <c r="A15" s="8" t="s">
        <v>45</v>
      </c>
      <c r="B15" s="8" t="s">
        <v>46</v>
      </c>
      <c r="C15" s="8" t="s">
        <v>47</v>
      </c>
      <c r="D15" s="8" t="s">
        <v>48</v>
      </c>
      <c r="E15" s="8" t="s">
        <v>27</v>
      </c>
      <c r="F15" s="8" t="s">
        <v>43</v>
      </c>
      <c r="G15" s="8" t="s">
        <v>49</v>
      </c>
      <c r="H15" s="8" t="s">
        <v>50</v>
      </c>
      <c r="I15" s="8" t="s">
        <v>31</v>
      </c>
      <c r="J15" s="8" t="s">
        <v>32</v>
      </c>
      <c r="K15" s="8" t="s">
        <v>32</v>
      </c>
    </row>
    <row r="16" customFormat="false" hidden="false" outlineLevel="0" collapsed="false" ht="50.5" customHeight="1">
      <c r="A16" s="8" t="s">
        <v>51</v>
      </c>
      <c r="B16" s="8" t="s">
        <v>52</v>
      </c>
      <c r="C16" s="8" t="s">
        <v>53</v>
      </c>
      <c r="D16" s="8" t="s">
        <v>54</v>
      </c>
      <c r="E16" s="8" t="s">
        <v>55</v>
      </c>
      <c r="F16" s="8" t="s">
        <v>56</v>
      </c>
      <c r="G16" s="8" t="s">
        <v>57</v>
      </c>
      <c r="H16" s="8" t="s">
        <v>58</v>
      </c>
      <c r="I16" s="8" t="s">
        <v>31</v>
      </c>
      <c r="J16" s="8" t="s">
        <v>32</v>
      </c>
      <c r="K16" s="8" t="s">
        <v>32</v>
      </c>
    </row>
    <row r="18" customFormat="false" ht="15" hidden="false" customHeight="true" outlineLevel="0" collapsed="false">
      <c r="A18" s="9" t="s">
        <v>59</v>
      </c>
      <c r="B18" s="9"/>
      <c r="C18" s="9"/>
      <c r="D18" s="9"/>
      <c r="E18" s="9"/>
      <c r="F18" s="9"/>
      <c r="G18" s="9"/>
      <c r="H18" s="9"/>
      <c r="I18" s="9"/>
      <c r="J18" s="9"/>
      <c r="K18" s="9"/>
    </row>
    <row r="19" customFormat="false" ht="15" hidden="false" customHeight="true" outlineLevel="0" collapsed="false">
      <c r="A19" s="10" t="s">
        <v>60</v>
      </c>
      <c r="C19" s="10" t="n">
        <f aca="false">COUNTA(A12:A16)</f>
      </c>
    </row>
    <row r="20" customFormat="false" ht="15" hidden="false" customHeight="true" outlineLevel="0" collapsed="false">
      <c r="A20" s="10" t="s">
        <v>61</v>
      </c>
      <c r="C20" s="10" t="n">
        <f aca="false">COUNTIF(D12:D16,"*Internal*")</f>
      </c>
    </row>
    <row r="21" customFormat="false" ht="15" hidden="false" customHeight="true" outlineLevel="0" collapsed="false">
      <c r="A21" s="10" t="s">
        <v>26</v>
      </c>
      <c r="C21" s="10" t="n">
        <f aca="false">COUNTIF(D12:D16,"*Restricted*")</f>
      </c>
    </row>
    <row r="22" customFormat="false" ht="15" hidden="false" customHeight="true" outlineLevel="0" collapsed="false">
      <c r="A22" s="10" t="s">
        <v>48</v>
      </c>
      <c r="C22" s="10" t="n">
        <f aca="false">COUNTIF(D12:D16,"*Confidential*")</f>
      </c>
    </row>
    <row r="23" customFormat="false" ht="15" hidden="false" customHeight="true" outlineLevel="0" collapsed="false">
      <c r="A23" s="10" t="s">
        <v>62</v>
      </c>
      <c r="C23" s="10" t="n">
        <f aca="false">COUNTIF(D12:D16,"*CJIS*")</f>
      </c>
    </row>
    <row r="24" customFormat="false" ht="15" hidden="false" customHeight="true" outlineLevel="0" collapsed="false">
      <c r="A24" s="10" t="s">
        <v>63</v>
      </c>
      <c r="C24" s="10" t="n">
        <f aca="true">COUNTIF(K12:K16,"&lt;"&amp;TODAY())</f>
      </c>
    </row>
    <row r="26" customFormat="false" ht="15" hidden="false" customHeight="true" outlineLevel="0" collapsed="false">
      <c r="A26" s="9" t="s">
        <v>64</v>
      </c>
      <c r="B26" s="9"/>
      <c r="C26" s="9"/>
      <c r="D26" s="9"/>
      <c r="E26" s="9"/>
      <c r="F26" s="9"/>
      <c r="G26" s="9"/>
      <c r="H26" s="9"/>
      <c r="I26" s="9"/>
      <c r="J26" s="9"/>
      <c r="K26" s="9"/>
    </row>
    <row r="27" customFormat="false" ht="60" hidden="false" customHeight="true" outlineLevel="0" collapsed="false">
      <c r="A27" s="11" t="s">
        <v>65</v>
      </c>
      <c r="B27" s="11"/>
      <c r="C27" s="11"/>
      <c r="D27" s="11"/>
      <c r="E27" s="11"/>
      <c r="F27" s="11"/>
      <c r="G27" s="11"/>
      <c r="H27" s="11"/>
      <c r="I27" s="11"/>
      <c r="J27" s="11"/>
      <c r="K27" s="11"/>
    </row>
    <row r="29" customFormat="false" ht="15" hidden="false" customHeight="true" outlineLevel="0" collapsed="false">
      <c r="A29" s="9" t="s">
        <v>66</v>
      </c>
      <c r="B29" s="9"/>
      <c r="C29" s="9"/>
      <c r="D29" s="9"/>
      <c r="E29" s="9"/>
      <c r="F29" s="9"/>
      <c r="G29" s="9"/>
      <c r="H29" s="9"/>
      <c r="I29" s="9"/>
      <c r="J29" s="9"/>
      <c r="K29" s="9"/>
    </row>
    <row r="30" customFormat="false" ht="45" hidden="false" customHeight="true" outlineLevel="0" collapsed="false">
      <c r="A30" s="11" t="s">
        <v>67</v>
      </c>
      <c r="B30" s="11"/>
      <c r="C30" s="11"/>
      <c r="D30" s="11"/>
      <c r="E30" s="11"/>
      <c r="F30" s="11"/>
      <c r="G30" s="11"/>
      <c r="H30" s="11"/>
      <c r="I30" s="11"/>
      <c r="J30" s="11"/>
      <c r="K30" s="11"/>
    </row>
    <row r="32" customFormat="false" ht="15" hidden="false" customHeight="true" outlineLevel="0" collapsed="false">
      <c r="A32" s="9" t="s">
        <v>68</v>
      </c>
      <c r="B32" s="9"/>
      <c r="C32" s="9"/>
      <c r="D32" s="9"/>
      <c r="E32" s="9"/>
      <c r="F32" s="9"/>
      <c r="G32" s="9"/>
      <c r="H32" s="9"/>
      <c r="I32" s="9"/>
      <c r="J32" s="9"/>
      <c r="K32" s="9"/>
    </row>
    <row r="33" customFormat="false" ht="15" hidden="false" customHeight="true" outlineLevel="0" collapsed="false">
      <c r="A33" s="6" t="s">
        <v>69</v>
      </c>
      <c r="B33" s="6"/>
      <c r="C33" s="6"/>
      <c r="D33" s="6"/>
      <c r="E33" s="6"/>
      <c r="F33" s="6"/>
      <c r="G33" s="6"/>
      <c r="H33" s="6"/>
      <c r="I33" s="6"/>
      <c r="J33" s="6"/>
      <c r="K33" s="6"/>
    </row>
    <row r="34" customFormat="false" ht="15" hidden="false" customHeight="true" outlineLevel="0" collapsed="false">
      <c r="A34" s="12" t="s">
        <v>70</v>
      </c>
      <c r="B34" s="12"/>
      <c r="C34" s="12"/>
      <c r="D34" s="12"/>
      <c r="E34" s="12"/>
      <c r="F34" s="12"/>
      <c r="G34" s="12"/>
      <c r="H34" s="12"/>
      <c r="I34" s="12"/>
      <c r="J34" s="12"/>
      <c r="K34" s="12"/>
    </row>
    <row r="35" customFormat="false" ht="15" hidden="false" customHeight="true" outlineLevel="0" collapsed="false">
      <c r="A35" s="12" t="s">
        <v>71</v>
      </c>
      <c r="B35" s="12"/>
      <c r="C35" s="12"/>
      <c r="D35" s="12"/>
      <c r="E35" s="12"/>
      <c r="F35" s="12"/>
      <c r="G35" s="12"/>
      <c r="H35" s="12"/>
      <c r="I35" s="12"/>
      <c r="J35" s="12"/>
      <c r="K35" s="12"/>
    </row>
    <row r="36" customFormat="false" ht="15" hidden="false" customHeight="true" outlineLevel="0" collapsed="false">
      <c r="A36" s="12" t="s">
        <v>72</v>
      </c>
      <c r="B36" s="12"/>
      <c r="C36" s="12"/>
      <c r="D36" s="12"/>
      <c r="E36" s="12"/>
      <c r="F36" s="12"/>
      <c r="G36" s="12"/>
      <c r="H36" s="12"/>
      <c r="I36" s="12"/>
      <c r="J36" s="12"/>
      <c r="K36" s="12"/>
    </row>
    <row r="37" customFormat="false" ht="15" hidden="false" customHeight="true" outlineLevel="0" collapsed="false">
      <c r="A37" s="12" t="s">
        <v>73</v>
      </c>
      <c r="B37" s="12"/>
      <c r="C37" s="12"/>
      <c r="D37" s="12"/>
      <c r="E37" s="12"/>
      <c r="F37" s="12"/>
      <c r="G37" s="12"/>
      <c r="H37" s="12"/>
      <c r="I37" s="12"/>
      <c r="J37" s="12"/>
      <c r="K37" s="12"/>
    </row>
    <row r="39" customFormat="false" ht="15" hidden="false" customHeight="true" outlineLevel="0" collapsed="false">
      <c r="A39" s="9" t="s">
        <v>74</v>
      </c>
      <c r="B39" s="9"/>
      <c r="C39" s="9"/>
      <c r="D39" s="9"/>
      <c r="E39" s="9"/>
      <c r="F39" s="9"/>
      <c r="G39" s="9"/>
      <c r="H39" s="9"/>
      <c r="I39" s="9"/>
      <c r="J39" s="9"/>
      <c r="K39" s="9"/>
    </row>
    <row r="40" customFormat="false" ht="15" hidden="false" customHeight="true" outlineLevel="0" collapsed="false">
      <c r="A40" s="13" t="s">
        <v>75</v>
      </c>
      <c r="B40" s="13" t="s">
        <v>76</v>
      </c>
      <c r="C40" s="13" t="s">
        <v>77</v>
      </c>
      <c r="D40" s="13" t="s">
        <v>78</v>
      </c>
    </row>
    <row r="41" customFormat="false" ht="25.5" hidden="false" customHeight="true" outlineLevel="0" collapsed="false">
      <c r="A41" s="14" t="s">
        <v>79</v>
      </c>
      <c r="B41" s="15"/>
      <c r="C41" s="15"/>
      <c r="D41" s="15"/>
    </row>
    <row r="42" customFormat="false" ht="25.5" hidden="false" customHeight="true" outlineLevel="0" collapsed="false">
      <c r="A42" s="14" t="s">
        <v>80</v>
      </c>
      <c r="B42" s="15"/>
      <c r="C42" s="15"/>
      <c r="D42" s="15"/>
    </row>
    <row r="44" customFormat="false" ht="15" hidden="false" customHeight="true" outlineLevel="0" collapsed="false">
      <c r="A44" s="9" t="s">
        <v>81</v>
      </c>
      <c r="B44" s="9"/>
      <c r="C44" s="9"/>
      <c r="D44" s="9"/>
      <c r="E44" s="9"/>
      <c r="F44" s="9"/>
      <c r="G44" s="9"/>
      <c r="H44" s="9"/>
      <c r="I44" s="9"/>
      <c r="J44" s="9"/>
      <c r="K44" s="9"/>
    </row>
    <row r="45" customFormat="false" ht="15" hidden="false" customHeight="true" outlineLevel="0" collapsed="false">
      <c r="A45" s="13" t="s">
        <v>82</v>
      </c>
      <c r="B45" s="13" t="s">
        <v>78</v>
      </c>
      <c r="C45" s="13" t="s">
        <v>83</v>
      </c>
      <c r="D45" s="13" t="s">
        <v>84</v>
      </c>
    </row>
    <row r="46" customFormat="false" ht="15" hidden="false" customHeight="true" outlineLevel="0" collapsed="false">
      <c r="A46" s="14" t="s">
        <v>85</v>
      </c>
      <c r="B46" s="14" t="s">
        <v>86</v>
      </c>
      <c r="C46" s="14" t="s">
        <v>55</v>
      </c>
      <c r="D46" s="14" t="s">
        <v>87</v>
      </c>
    </row>
    <row r="48" customFormat="false" ht="60" hidden="false" customHeight="true" outlineLevel="0" collapsed="false">
      <c r="A48" s="16" t="s">
        <v>88</v>
      </c>
      <c r="B48" s="16"/>
      <c r="C48" s="16"/>
      <c r="D48" s="16"/>
      <c r="E48" s="16"/>
      <c r="F48" s="16"/>
      <c r="G48" s="16"/>
      <c r="H48" s="16"/>
      <c r="I48" s="16"/>
      <c r="J48" s="16"/>
      <c r="K48" s="16"/>
    </row>
  </sheetData>
  <mergeCells count="27">
    <mergeCell ref="A1:K1"/>
    <mergeCell ref="A3:B3"/>
    <mergeCell ref="C3:K3"/>
    <mergeCell ref="A4:B4"/>
    <mergeCell ref="C4:K4"/>
    <mergeCell ref="A5:B5"/>
    <mergeCell ref="C5:K5"/>
    <mergeCell ref="A6:B6"/>
    <mergeCell ref="C6:K6"/>
    <mergeCell ref="A7:B7"/>
    <mergeCell ref="C7:K7"/>
    <mergeCell ref="A9:K9"/>
    <mergeCell ref="A10:K10"/>
    <mergeCell ref="A18:K18"/>
    <mergeCell ref="A26:K26"/>
    <mergeCell ref="A27:K27"/>
    <mergeCell ref="A29:K29"/>
    <mergeCell ref="A30:K30"/>
    <mergeCell ref="A32:K32"/>
    <mergeCell ref="A33:K33"/>
    <mergeCell ref="A34:K34"/>
    <mergeCell ref="A35:K35"/>
    <mergeCell ref="A36:K36"/>
    <mergeCell ref="A37:K37"/>
    <mergeCell ref="A39:K39"/>
    <mergeCell ref="A44:K44"/>
    <mergeCell ref="A48:K48"/>
  </mergeCells>
  <dataValidations count="2">
    <dataValidation allowBlank="true" errorStyle="stop" operator="between" showDropDown="false" showErrorMessage="false" showInputMessage="false" sqref="I12:I46" type="list">
      <formula1>"Active,Under Review,Retired"</formula1>
      <formula2>0</formula2>
    </dataValidation>
    <dataValidation sqref="D12:D16" showDropDown="0" showInputMessage="0" showErrorMessage="0" allowBlank="1" promptTitle="Classification" prompt="Select a value" type="list">
      <formula1>"Internal,Restricted,Restricted / CJIS,Confidential,Confidential / CJIS"</formula1>
      <formula2>0</formula2>
    </dataValidation>
  </dataValidations>
  <printOptions headings="false" gridLines="false" gridLinesSet="true" horizontalCentered="false" verticalCentered="false"/>
  <pageMargins left="0.75" right="0.75" top="1" bottom="1" header="0.511811023622047" footer="0.511811023622047"/>
  <pageSetup paperSize="1" orientation="landscape" fitToWidth="1" fitToHeight="0"/>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1"/>
  </sheetPr>
  <dimension ref="A1:D23"/>
  <sheetViews>
    <sheetView showFormulas="false" showGridLines="0" showRowColHeaders="true" showZeros="true" rightToLeft="false" tabSelected="false" showOutlineSymbols="true" defaultGridColor="true" view="normal"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60"/>
    <col collapsed="false" customWidth="true" hidden="false" outlineLevel="0" max="3" min="3" style="1" width="12"/>
    <col collapsed="false" customWidth="true" hidden="false" outlineLevel="0" max="4" min="4" style="1" width="34"/>
  </cols>
  <sheetData>
    <row r="1" customFormat="false" ht="17.25" hidden="false" customHeight="true" outlineLevel="0" collapsed="false">
      <c r="A1" s="17" t="s">
        <v>89</v>
      </c>
      <c r="B1" s="17"/>
      <c r="C1" s="17"/>
      <c r="D1" s="17"/>
    </row>
    <row r="2" customFormat="false" ht="43.5" hidden="false" customHeight="true" outlineLevel="0" collapsed="false">
      <c r="A2" s="16" t="s">
        <v>90</v>
      </c>
      <c r="B2" s="16"/>
      <c r="C2" s="16"/>
      <c r="D2" s="16"/>
    </row>
    <row r="3" customFormat="false" ht="30" hidden="false" customHeight="true" outlineLevel="0" collapsed="false">
      <c r="A3" s="16" t="s">
        <v>91</v>
      </c>
      <c r="B3" s="16"/>
      <c r="C3" s="16"/>
      <c r="D3" s="16"/>
    </row>
    <row r="5" customFormat="false" ht="15" hidden="false" customHeight="true" outlineLevel="0" collapsed="false">
      <c r="A5" s="13" t="s">
        <v>92</v>
      </c>
      <c r="B5" s="13" t="s">
        <v>93</v>
      </c>
      <c r="C5" s="13" t="s">
        <v>94</v>
      </c>
      <c r="D5" s="13" t="s">
        <v>95</v>
      </c>
    </row>
    <row r="6" customFormat="false" hidden="false" outlineLevel="0" collapsed="false" ht="34.7" customHeight="1">
      <c r="A6" s="18" t="s">
        <v>13</v>
      </c>
      <c r="B6" s="18" t="s">
        <v>96</v>
      </c>
      <c r="C6" s="18" t="s">
        <v>97</v>
      </c>
      <c r="D6" s="18" t="s">
        <v>98</v>
      </c>
    </row>
    <row r="7" customFormat="false" ht="30" hidden="false" customHeight="true" outlineLevel="0" collapsed="false">
      <c r="A7" s="18" t="s">
        <v>14</v>
      </c>
      <c r="B7" s="18" t="s">
        <v>99</v>
      </c>
      <c r="C7" s="18" t="s">
        <v>97</v>
      </c>
      <c r="D7" s="18" t="s">
        <v>100</v>
      </c>
    </row>
    <row r="8" customFormat="false" ht="30" hidden="false" customHeight="true" outlineLevel="0" collapsed="false">
      <c r="A8" s="18" t="s">
        <v>15</v>
      </c>
      <c r="B8" s="18" t="s">
        <v>101</v>
      </c>
      <c r="C8" s="18" t="s">
        <v>97</v>
      </c>
      <c r="D8" s="18" t="s">
        <v>102</v>
      </c>
    </row>
    <row r="9" customFormat="false" hidden="false" outlineLevel="0" collapsed="false" ht="34.7" customHeight="1">
      <c r="A9" s="18" t="s">
        <v>7</v>
      </c>
      <c r="B9" s="18" t="s">
        <v>103</v>
      </c>
      <c r="C9" s="18" t="s">
        <v>97</v>
      </c>
      <c r="D9" s="18" t="s">
        <v>104</v>
      </c>
    </row>
    <row r="10" customFormat="false" ht="30" hidden="false" customHeight="true" outlineLevel="0" collapsed="false">
      <c r="A10" s="18" t="s">
        <v>16</v>
      </c>
      <c r="B10" s="18" t="s">
        <v>105</v>
      </c>
      <c r="C10" s="18" t="s">
        <v>97</v>
      </c>
      <c r="D10" s="18" t="s">
        <v>106</v>
      </c>
    </row>
    <row r="11" customFormat="false" ht="30" hidden="false" customHeight="true" outlineLevel="0" collapsed="false">
      <c r="A11" s="18" t="s">
        <v>17</v>
      </c>
      <c r="B11" s="18" t="s">
        <v>107</v>
      </c>
      <c r="C11" s="18" t="s">
        <v>97</v>
      </c>
      <c r="D11" s="18" t="s">
        <v>108</v>
      </c>
    </row>
    <row r="12" customFormat="false" ht="30" hidden="false" customHeight="true" outlineLevel="0" collapsed="false">
      <c r="A12" s="18" t="s">
        <v>18</v>
      </c>
      <c r="B12" s="18" t="s">
        <v>109</v>
      </c>
      <c r="C12" s="18" t="s">
        <v>97</v>
      </c>
      <c r="D12" s="18" t="s">
        <v>110</v>
      </c>
    </row>
    <row r="13" customFormat="false" ht="30" hidden="false" customHeight="true" outlineLevel="0" collapsed="false">
      <c r="A13" s="18" t="s">
        <v>19</v>
      </c>
      <c r="B13" s="18" t="s">
        <v>111</v>
      </c>
      <c r="C13" s="18" t="s">
        <v>97</v>
      </c>
      <c r="D13" s="18" t="s">
        <v>112</v>
      </c>
    </row>
    <row r="14" customFormat="false" ht="30" hidden="false" customHeight="true" outlineLevel="0" collapsed="false">
      <c r="A14" s="18" t="s">
        <v>20</v>
      </c>
      <c r="B14" s="18" t="s">
        <v>113</v>
      </c>
      <c r="C14" s="18" t="s">
        <v>97</v>
      </c>
      <c r="D14" s="18" t="s">
        <v>31</v>
      </c>
    </row>
    <row r="15" customFormat="false" ht="30" hidden="false" customHeight="true" outlineLevel="0" collapsed="false">
      <c r="A15" s="18" t="s">
        <v>21</v>
      </c>
      <c r="B15" s="18" t="s">
        <v>114</v>
      </c>
      <c r="C15" s="18" t="s">
        <v>97</v>
      </c>
      <c r="D15" s="23">
        <v>46082</v>
      </c>
    </row>
    <row r="16" customFormat="false" hidden="false" outlineLevel="0" collapsed="false" ht="34.7" customHeight="1">
      <c r="A16" s="18" t="s">
        <v>22</v>
      </c>
      <c r="B16" s="18" t="s">
        <v>116</v>
      </c>
      <c r="C16" s="18" t="s">
        <v>97</v>
      </c>
      <c r="D16" s="23">
        <v>46266</v>
      </c>
    </row>
    <row r="18" ht="20" customHeight="1">
      <c r="A18" s="19" t="inlineStr">
        <is>
          <t xml:space="preserve">Profile Scaling Notes</t>
        </is>
      </c>
    </row>
    <row r="19" ht="30" customHeight="1">
      <c r="A19" s="20" t="inlineStr">
        <is>
          <t xml:space="preserve">What minimum-viable upkeep looks like at each PSAP size. Keep all three rows while this ships as a template; once adopted, keep the one that fits.</t>
        </is>
      </c>
    </row>
    <row r="20">
      <c r="A20" s="19" t="inlineStr">
        <is>
          <t xml:space="preserve">PSAP Profile</t>
        </is>
      </c>
      <c r="B20" s="19" t="inlineStr">
        <is>
          <t xml:space="preserve">Minimum-viable implementation</t>
        </is>
      </c>
    </row>
    <row r="21" ht="42" customHeight="1">
      <c r="A21" s="21" t="inlineStr">
        <is>
          <t xml:space="preserve">Small (1–5, no in-house IT)</t>
        </is>
      </c>
      <c r="B21" s="22" t="inlineStr">
        <is>
          <t xml:space="preserve">Maintain this by hand. One person, usually the director, keeps it current on the review cycle in the header block.</t>
        </is>
      </c>
    </row>
    <row r="22" ht="42" customHeight="1">
      <c r="A22" s="21" t="inlineStr">
        <is>
          <t xml:space="preserve">Medium (6–25, shared county IT)</t>
        </is>
      </c>
      <c r="B22" s="22" t="inlineStr">
        <is>
          <t xml:space="preserve">A named coordinator owns it, updates it on a set cadence, and reconciles it at each periodic review.</t>
        </is>
      </c>
    </row>
    <row r="23" ht="42" customHeight="1">
      <c r="A23" s="21" t="inlineStr">
        <is>
          <t xml:space="preserve">Large (25+, dedicated IT/security)</t>
        </is>
      </c>
      <c r="B23" s="22" t="inlineStr">
        <is>
          <t xml:space="preserve">Where a system of record exists (asset, identity, badge, or finance system), populate it from there on a schedule and treat this sheet as the reviewed record.</t>
        </is>
      </c>
    </row>
  </sheetData>
  <mergeCells count="9">
    <mergeCell ref="A1:D1"/>
    <mergeCell ref="A2:D2"/>
    <mergeCell ref="A3:D3"/>
    <mergeCell ref="A18:D18"/>
    <mergeCell ref="A19:D19"/>
    <mergeCell ref="B20:D20"/>
    <mergeCell ref="B21:D21"/>
    <mergeCell ref="B22:D22"/>
    <mergeCell ref="B23:D23"/>
  </mergeCells>
  <printOptions headings="false" gridLines="false" gridLinesSet="true" horizontalCentered="false" verticalCentered="false"/>
  <pageMargins left="0.75" right="0.75" top="1" bottom="1" header="0.511811023622047" footer="0.511811023622047"/>
  <pageSetup paperSize="1" orientation="landscape" fitToWidth="1" fitToHeight="0"/>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2026-06-04T13:36:25Z</dcterms:created>
  <dc:creator>911 Authority in partnership with IN911</dc:creator>
  <dc:description/>
  <dc:language>en-US</dc:language>
  <cp:lastModifiedBy/>
  <dcterms:modified xsi:type="dcterms:W3CDTF">2026-06-04T16:29:34Z</dcterms:modified>
  <cp:revision>0</cp:revision>
  <dc:subject/>
  <dc:title>Data Inventory / Data Map - FORM</dc:title>
</cp:coreProperties>
</file>

<file path=docProps/custom.xml><?xml version="1.0" encoding="utf-8"?>
<Properties xmlns="http://schemas.openxmlformats.org/officeDocument/2006/custom-properties" xmlns:vt="http://schemas.openxmlformats.org/officeDocument/2006/docPropsVTypes"/>
</file>
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20" yWindow="780" windowWidth="29920" windowHeight="20380" tabRatio="500" firstSheet="0" activeTab="0" autoFilterDateGrouping="1"/>
  </bookViews>
  <sheets>
    <sheet xmlns:r="http://schemas.openxmlformats.org/officeDocument/2006/relationships" name="Register" sheetId="1" state="visible" r:id="rId1"/>
    <sheet xmlns:r="http://schemas.openxmlformats.org/officeDocument/2006/relationships" name="Column Instructions" sheetId="2" state="visible" r:id="rId2"/>
  </sheets>
  <definedNames/>
  <calcPr calcId="191029" fullCalcOnLoad="1"/>
</workbook>
</file>

<file path=xl/styles.xml><?xml version="1.0" encoding="utf-8"?>
<styleSheet xmlns="http://schemas.openxmlformats.org/spreadsheetml/2006/main">
  <numFmts count="0"/>
  <fonts count="11">
    <font>
      <name val="Aptos"/>
      <charset val="1"/>
      <family val="2"/>
      <color theme="1"/>
      <sz val="11"/>
    </font>
    <font>
      <name val="Aptos"/>
      <b val="1"/>
      <color rgb="FFFFFFFF"/>
      <sz val="16"/>
    </font>
    <font>
      <name val="Aptos"/>
      <i val="1"/>
      <color rgb="FF595959"/>
      <sz val="12"/>
    </font>
    <font>
      <name val="Aptos"/>
      <b val="1"/>
      <color rgb="FF1B3A5C"/>
      <sz val="12"/>
    </font>
    <font>
      <name val="Aptos"/>
      <color rgb="FF000000"/>
      <sz val="12"/>
    </font>
    <font>
      <name val="Aptos"/>
      <b val="1"/>
      <color rgb="FFFFFFFF"/>
      <sz val="12"/>
    </font>
    <font>
      <name val="Aptos"/>
      <b val="1"/>
      <color rgb="FF000000"/>
      <sz val="12"/>
    </font>
    <font>
      <name val="Aptos"/>
      <b val="1"/>
      <color rgb="FFFFFFFF"/>
      <sz val="12"/>
    </font>
    <font>
      <name val="Aptos"/>
      <i val="1"/>
      <color rgb="FF595959"/>
      <sz val="11"/>
    </font>
    <font>
      <name val="Aptos"/>
      <b val="1"/>
      <color rgb="FF000000"/>
      <sz val="12"/>
    </font>
    <font>
      <name val="Aptos"/>
      <color rgb="FF000000"/>
      <sz val="12"/>
    </font>
  </fonts>
  <fills count="7">
    <fill>
      <patternFill/>
    </fill>
    <fill>
      <patternFill patternType="gray125"/>
    </fill>
    <fill>
      <patternFill patternType="solid">
        <fgColor rgb="FF1B3A5C"/>
        <bgColor rgb="FF333333"/>
      </patternFill>
    </fill>
    <fill>
      <patternFill patternType="solid">
        <fgColor rgb="FFEEF2F7"/>
        <bgColor rgb="FFF4F1E8"/>
      </patternFill>
    </fill>
    <fill>
      <patternFill patternType="solid">
        <fgColor rgb="FFF4F1E8"/>
        <bgColor rgb="FFEEF2F7"/>
      </patternFill>
    </fill>
    <fill>
      <patternFill patternType="solid">
        <fgColor rgb="FF1B3A5C"/>
        <bgColor indexed="64"/>
      </patternFill>
    </fill>
    <fill>
      <patternFill patternType="solid">
        <fgColor rgb="001B3A5C"/>
      </patternFill>
    </fill>
  </fills>
  <borders count="8">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4" fillId="4" borderId="0" applyAlignment="1" pivotButton="0" quotePrefix="0" xfId="0">
      <alignment horizontal="left" vertical="top" wrapText="1"/>
    </xf>
    <xf numFmtId="0" fontId="2" fillId="4" borderId="0" applyAlignment="1" pivotButton="0" quotePrefix="0" xfId="0">
      <alignment horizontal="left" vertical="top" wrapText="1"/>
    </xf>
    <xf numFmtId="0" fontId="4" fillId="0" borderId="0" applyAlignment="1" pivotButton="0" quotePrefix="0" xfId="0">
      <alignment horizontal="left" vertical="top" wrapText="1"/>
    </xf>
    <xf numFmtId="0" fontId="4" fillId="0" borderId="2" applyAlignment="1" pivotButton="0" quotePrefix="0" xfId="0">
      <alignment horizontal="left" vertical="top" wrapText="1"/>
    </xf>
    <xf numFmtId="0" fontId="3" fillId="0" borderId="0" applyAlignment="1" pivotButton="0" quotePrefix="0" xfId="0">
      <alignment horizontal="left" vertical="top" wrapText="1"/>
    </xf>
    <xf numFmtId="0" fontId="2" fillId="3" borderId="1" applyAlignment="1" pivotButton="0" quotePrefix="0" xfId="0">
      <alignment horizontal="left" vertical="top" wrapText="1"/>
    </xf>
    <xf numFmtId="0" fontId="4"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0" applyAlignment="1" pivotButton="0" quotePrefix="0" xfId="0">
      <alignment horizontal="left" vertical="top" wrapText="1"/>
    </xf>
    <xf numFmtId="0" fontId="1" fillId="2" borderId="0" applyAlignment="1" pivotButton="0" quotePrefix="0" xfId="0">
      <alignment horizontal="left" vertical="center"/>
    </xf>
    <xf numFmtId="0" fontId="5" fillId="2" borderId="1" applyAlignment="1" pivotButton="0" quotePrefix="0" xfId="0">
      <alignment horizontal="center" vertical="center" wrapText="1"/>
    </xf>
    <xf numFmtId="0" fontId="4" fillId="0" borderId="1" applyAlignment="1" pivotButton="0" quotePrefix="0" xfId="0">
      <alignment horizontal="left" vertical="top" wrapText="1"/>
    </xf>
    <xf numFmtId="0" fontId="6" fillId="0" borderId="2" applyAlignment="1" pivotButton="0" quotePrefix="0" xfId="0">
      <alignment horizontal="left" vertical="center"/>
    </xf>
    <xf numFmtId="0" fontId="0" fillId="2" borderId="1" pivotButton="0" quotePrefix="0" xfId="0"/>
    <xf numFmtId="0" fontId="4" fillId="0" borderId="1" pivotButton="0" quotePrefix="0" xfId="0"/>
    <xf numFmtId="0" fontId="3" fillId="0" borderId="0" pivotButton="0" quotePrefix="0" xfId="0"/>
    <xf numFmtId="0" fontId="6" fillId="0" borderId="1" applyAlignment="1" pivotButton="0" quotePrefix="0" xfId="0">
      <alignment horizontal="left" vertical="top" wrapText="1"/>
    </xf>
    <xf numFmtId="0" fontId="7" fillId="5" borderId="1" applyAlignment="1" pivotButton="0" quotePrefix="0" xfId="0">
      <alignment horizontal="center" vertical="center" wrapText="1"/>
    </xf>
    <xf numFmtId="0" fontId="8" fillId="0" borderId="0" applyAlignment="1" pivotButton="0" quotePrefix="0" xfId="0">
      <alignment horizontal="left" vertical="center" wrapText="1"/>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0" fillId="0" borderId="5" pivotButton="0" quotePrefix="0" xfId="0"/>
    <xf numFmtId="0" fontId="0" fillId="0" borderId="6" pivotButton="0" quotePrefix="0" xfId="0"/>
    <xf numFmtId="0" fontId="7" fillId="6" borderId="7" applyAlignment="1" pivotButton="0" quotePrefix="0" xfId="0">
      <alignment horizontal="center" vertical="center" wrapText="1"/>
    </xf>
    <xf numFmtId="0" fontId="10" fillId="0" borderId="7" applyAlignment="1" pivotButton="0" quotePrefix="0" xfId="0">
      <alignment horizontal="left" vertical="top" wrapText="1"/>
    </xf>
    <xf numFmtId="0" fontId="0" fillId="0" borderId="2"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4F1E8"/>
      <rgbColor rgb="FFEEF2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B3A5C"/>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majorFont>
      <a:minorFont>
        <a:latin typeface="Aptos"/>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47"/>
  <sheetViews>
    <sheetView showGridLines="0" tabSelected="1" zoomScaleNormal="100" workbookViewId="0">
      <pane ySplit="11" topLeftCell="A12" activePane="bottomLeft" state="frozen"/>
      <selection pane="bottomLeft" activeCell="A1" sqref="A1:G1"/>
    </sheetView>
  </sheetViews>
  <sheetFormatPr baseColWidth="10" defaultColWidth="8.6640625" defaultRowHeight="15"/>
  <cols>
    <col width="10" customWidth="1" min="1" max="1"/>
    <col width="26" customWidth="1" min="2" max="2"/>
    <col width="22" customWidth="1" min="3" max="3"/>
    <col width="22" customWidth="1" min="4" max="4"/>
    <col width="14" customWidth="1" min="5" max="5"/>
    <col width="13" customWidth="1" min="6" max="7"/>
    <col width="18" customWidth="1" min="7" max="7"/>
    <col width="14" customWidth="1" min="8" max="8"/>
  </cols>
  <sheetData>
    <row r="1" ht="25.5" customHeight="1">
      <c r="A1" s="10" t="inlineStr">
        <is>
          <t>Incident Notification &amp; Escalation Contact List</t>
        </is>
      </c>
    </row>
    <row r="2" ht="15" customHeight="1">
      <c r="A2" s="9" t="inlineStr">
        <is>
          <t>« Replace bracketed fields. This is the call-and-escalation list for the Incident Response Plan; keep it current and verify every contact at least annually. Delete every « » note before publishing. »</t>
        </is>
      </c>
    </row>
    <row r="3" ht="15" customHeight="1">
      <c r="A3" s="8" t="inlineStr">
        <is>
          <t>Authority</t>
        </is>
      </c>
      <c r="B3" s="22" t="n"/>
      <c r="C3" s="7" t="inlineStr">
        <is>
          <t>Adopted by [Agency Name] under the authority of [signing official / title].</t>
        </is>
      </c>
      <c r="D3" s="23" t="n"/>
      <c r="E3" s="23" t="n"/>
      <c r="F3" s="23" t="n"/>
      <c r="G3" s="23" t="n"/>
      <c r="H3" s="22" t="n"/>
    </row>
    <row r="4" ht="15" customHeight="1">
      <c r="A4" s="8" t="inlineStr">
        <is>
          <t>Owner</t>
        </is>
      </c>
      <c r="B4" s="22" t="n"/>
      <c r="C4" s="7" t="inlineStr">
        <is>
          <t>[Role title]   « use a role, not a person’s name »</t>
        </is>
      </c>
      <c r="D4" s="23" t="n"/>
      <c r="E4" s="23" t="n"/>
      <c r="F4" s="23" t="n"/>
      <c r="G4" s="23" t="n"/>
      <c r="H4" s="22" t="n"/>
    </row>
    <row r="5" ht="15" customHeight="1">
      <c r="A5" s="8" t="inlineStr">
        <is>
          <t>Version / Dates</t>
        </is>
      </c>
      <c r="B5" s="22" t="n"/>
      <c r="C5" s="7" t="inlineStr">
        <is>
          <t>Version [#]      Effective Date [Date]      Next Review [Date]</t>
        </is>
      </c>
      <c r="D5" s="23" t="n"/>
      <c r="E5" s="23" t="n"/>
      <c r="F5" s="23" t="n"/>
      <c r="G5" s="23" t="n"/>
      <c r="H5" s="22" t="n"/>
    </row>
    <row r="6" ht="43.5" customHeight="1">
      <c r="A6" s="8" t="inlineStr">
        <is>
          <t>Classification</t>
        </is>
      </c>
      <c r="B6" s="22" t="n"/>
      <c r="C6" s="6" t="inlineStr">
        <is>
          <t>Confidential / CJIS   « Minimum for this list: it names individuals and their contact details, so it is Confidential. '/ CJIS' applies because incident handling reaches CJIS-regulated systems through IDACS. Your agency may raise but not lower it. »</t>
        </is>
      </c>
      <c r="D6" s="23" t="n"/>
      <c r="E6" s="23" t="n"/>
      <c r="F6" s="23" t="n"/>
      <c r="G6" s="23" t="n"/>
      <c r="H6" s="22" t="n"/>
    </row>
    <row r="7" ht="15" customHeight="1">
      <c r="A7" s="8" t="inlineStr">
        <is>
          <t>Review cadence</t>
        </is>
      </c>
      <c r="B7" s="22" t="n"/>
      <c r="C7" s="7" t="inlineStr">
        <is>
          <t>Reviewed at least [annually] by the [Owner role]; verify each contact and re-confirm the escalation order whenever staff, vendors, or reporting contacts change.</t>
        </is>
      </c>
      <c r="D7" s="23" t="n"/>
      <c r="E7" s="23" t="n"/>
      <c r="F7" s="23" t="n"/>
      <c r="G7" s="23" t="n"/>
      <c r="H7" s="22" t="n"/>
    </row>
    <row r="9" ht="15" customHeight="1">
      <c r="A9" s="5" t="inlineStr">
        <is>
          <t>Register Entries</t>
        </is>
      </c>
    </row>
    <row r="10" ht="27.75" customHeight="1">
      <c r="A10" s="9" t="inlineStr">
        <is>
          <t>« One row per party to be contacted during an incident. Set the call sequence with Escalation Order and use Triggers at Tier to show which severity levels call each party. Include internal roles, vendors (CAD, recording, ISP), the State 911 Board, the Indiana Office of Technology, FBI/CISA, and any managed security service. Names appear in the adopted list, which is why it is Confidential. »</t>
        </is>
      </c>
    </row>
    <row r="11" ht="30" customHeight="1">
      <c r="A11" s="24" t="inlineStr">
        <is>
          <t>ID</t>
        </is>
      </c>
      <c r="B11" s="24" t="inlineStr">
        <is>
          <t>Contact (Party &amp; Role)</t>
        </is>
      </c>
      <c r="C11" s="24" t="inlineStr">
        <is>
          <t>Primary Contact</t>
        </is>
      </c>
      <c r="D11" s="24" t="inlineStr">
        <is>
          <t>Alternate Contact</t>
        </is>
      </c>
      <c r="E11" s="24" t="inlineStr">
        <is>
          <t>Triggers at Tier</t>
        </is>
      </c>
      <c r="F11" s="24" t="inlineStr">
        <is>
          <t>Escalation Order</t>
        </is>
      </c>
      <c r="G11" s="24" t="inlineStr">
        <is>
          <t>Availability</t>
        </is>
      </c>
      <c r="H11" s="24" t="inlineStr">
        <is>
          <t>Last Verified</t>
        </is>
      </c>
    </row>
    <row r="12" ht="19.5" customHeight="1">
      <c r="A12" s="25" t="inlineStr">
        <is>
          <t>CN-001</t>
        </is>
      </c>
      <c r="B12" s="25" t="inlineStr">
        <is>
          <t>[Director / Coordinator]</t>
        </is>
      </c>
      <c r="C12" s="25" t="inlineStr">
        <is>
          <t>[office / cell]</t>
        </is>
      </c>
      <c r="D12" s="25" t="inlineStr">
        <is>
          <t>[alternate cell]</t>
        </is>
      </c>
      <c r="E12" s="25" t="inlineStr">
        <is>
          <t>[All tiers]</t>
        </is>
      </c>
      <c r="F12" s="25" t="inlineStr">
        <is>
          <t>[1]</t>
        </is>
      </c>
      <c r="G12" s="25" t="inlineStr">
        <is>
          <t>[24x7]</t>
        </is>
      </c>
      <c r="H12" s="25" t="inlineStr">
        <is>
          <t>[YYYY-MM-DD]</t>
        </is>
      </c>
    </row>
    <row r="13" ht="19.5" customHeight="1">
      <c r="A13" s="25" t="inlineStr">
        <is>
          <t>CN-002</t>
        </is>
      </c>
      <c r="B13" s="25" t="inlineStr">
        <is>
          <t>[IT support (county / vendor)]</t>
        </is>
      </c>
      <c r="C13" s="25" t="inlineStr">
        <is>
          <t>[help line]</t>
        </is>
      </c>
      <c r="D13" s="25" t="inlineStr">
        <is>
          <t>[after-hours on-call]</t>
        </is>
      </c>
      <c r="E13" s="25" t="inlineStr">
        <is>
          <t>[Sev 1-2]</t>
        </is>
      </c>
      <c r="F13" s="25" t="inlineStr">
        <is>
          <t>[2]</t>
        </is>
      </c>
      <c r="G13" s="25" t="inlineStr">
        <is>
          <t>[business hrs + on-call]</t>
        </is>
      </c>
      <c r="H13" s="25" t="inlineStr">
        <is>
          <t>[YYYY-MM-DD]</t>
        </is>
      </c>
    </row>
    <row r="14" ht="19.5" customHeight="1">
      <c r="A14" s="25" t="inlineStr">
        <is>
          <t>CN-003</t>
        </is>
      </c>
      <c r="B14" s="25" t="inlineStr">
        <is>
          <t>[CAD vendor support]</t>
        </is>
      </c>
      <c r="C14" s="25" t="inlineStr">
        <is>
          <t>[24x7 support line]</t>
        </is>
      </c>
      <c r="D14" s="25" t="inlineStr">
        <is>
          <t>[account rep]</t>
        </is>
      </c>
      <c r="E14" s="25" t="inlineStr">
        <is>
          <t>[Sev 1-2]</t>
        </is>
      </c>
      <c r="F14" s="25" t="inlineStr">
        <is>
          <t>[3]</t>
        </is>
      </c>
      <c r="G14" s="25" t="inlineStr">
        <is>
          <t>[per contract]</t>
        </is>
      </c>
      <c r="H14" s="25" t="inlineStr">
        <is>
          <t>[YYYY-MM-DD]</t>
        </is>
      </c>
    </row>
    <row r="15" ht="19.5" customHeight="1">
      <c r="A15" s="25" t="inlineStr">
        <is>
          <t>CN-004</t>
        </is>
      </c>
      <c r="B15" s="25" t="inlineStr">
        <is>
          <t>[Indiana Office of Technology (IOT)]</t>
        </is>
      </c>
      <c r="C15" s="25" t="inlineStr">
        <is>
          <t>[IN-ISAC / IOT reporting]</t>
        </is>
      </c>
      <c r="D15" s="25" t="inlineStr">
        <is>
          <t>[-]</t>
        </is>
      </c>
      <c r="E15" s="25" t="inlineStr">
        <is>
          <t>[Sev 1]</t>
        </is>
      </c>
      <c r="F15" s="25" t="inlineStr">
        <is>
          <t>[4]</t>
        </is>
      </c>
      <c r="G15" s="25" t="inlineStr">
        <is>
          <t>[per HEA 1169]</t>
        </is>
      </c>
      <c r="H15" s="25" t="inlineStr">
        <is>
          <t>[YYYY-MM-DD]</t>
        </is>
      </c>
    </row>
    <row r="16" ht="19.5" customHeight="1">
      <c r="A16" s="25" t="inlineStr">
        <is>
          <t>CN-005</t>
        </is>
      </c>
      <c r="B16" s="25" t="inlineStr">
        <is>
          <t>[FBI field office / CISA]</t>
        </is>
      </c>
      <c r="C16" s="25" t="inlineStr">
        <is>
          <t>[report line]</t>
        </is>
      </c>
      <c r="D16" s="25" t="inlineStr">
        <is>
          <t>[-]</t>
        </is>
      </c>
      <c r="E16" s="25" t="inlineStr">
        <is>
          <t>[Sev 1]</t>
        </is>
      </c>
      <c r="F16" s="25" t="inlineStr">
        <is>
          <t>[5]</t>
        </is>
      </c>
      <c r="G16" s="25" t="inlineStr">
        <is>
          <t>[24x7 report]</t>
        </is>
      </c>
      <c r="H16" s="25" t="inlineStr">
        <is>
          <t>[YYYY-MM-DD]</t>
        </is>
      </c>
    </row>
    <row r="17" ht="19.5" customHeight="1">
      <c r="A17" s="12" t="n"/>
      <c r="B17" s="12" t="n"/>
      <c r="C17" s="12" t="n"/>
      <c r="D17" s="12" t="n"/>
      <c r="E17" s="12" t="n"/>
      <c r="F17" s="12" t="n"/>
      <c r="G17" s="12" t="n"/>
      <c r="H17" s="25" t="n"/>
    </row>
    <row r="18" ht="19.5" customHeight="1">
      <c r="A18" s="12" t="n"/>
      <c r="B18" s="12" t="n"/>
      <c r="C18" s="12" t="n"/>
      <c r="D18" s="12" t="n"/>
      <c r="E18" s="12" t="n"/>
      <c r="F18" s="12" t="n"/>
      <c r="G18" s="12" t="n"/>
      <c r="H18" s="25" t="n"/>
    </row>
    <row r="19" ht="19.5" customHeight="1">
      <c r="A19" s="12" t="n"/>
      <c r="B19" s="12" t="n"/>
      <c r="C19" s="12" t="n"/>
      <c r="D19" s="12" t="n"/>
      <c r="E19" s="12" t="n"/>
      <c r="F19" s="12" t="n"/>
      <c r="G19" s="12" t="n"/>
      <c r="H19" s="25" t="n"/>
    </row>
    <row r="20" ht="19.5" customHeight="1">
      <c r="A20" s="12" t="n"/>
      <c r="B20" s="12" t="n"/>
      <c r="C20" s="12" t="n"/>
      <c r="D20" s="12" t="n"/>
      <c r="E20" s="12" t="n"/>
      <c r="F20" s="12" t="n"/>
      <c r="G20" s="12" t="n"/>
      <c r="H20" s="25" t="n"/>
    </row>
    <row r="21" ht="19.5" customHeight="1">
      <c r="A21" s="12" t="n"/>
      <c r="B21" s="12" t="n"/>
      <c r="C21" s="12" t="n"/>
      <c r="D21" s="12" t="n"/>
      <c r="E21" s="12" t="n"/>
      <c r="F21" s="12" t="n"/>
      <c r="G21" s="12" t="n"/>
      <c r="H21" s="25" t="n"/>
    </row>
    <row r="23" ht="15" customHeight="1">
      <c r="A23" s="5" t="inlineStr">
        <is>
          <t>Summary</t>
        </is>
      </c>
    </row>
    <row r="24" ht="15" customHeight="1">
      <c r="A24" s="4" t="inlineStr">
        <is>
          <t>Total contacts listed</t>
        </is>
      </c>
      <c r="B24" s="26" t="n"/>
      <c r="C24" s="13">
        <f>COUNTA(A12:A21)</f>
        <v/>
      </c>
    </row>
    <row r="25" ht="15" customHeight="1">
      <c r="A25" s="4" t="inlineStr">
        <is>
          <t>Verified in the last 12 months</t>
        </is>
      </c>
      <c r="B25" s="26" t="n"/>
      <c r="C25" s="13">
        <f>COUNTIFS(A12:A21,"&lt;&gt;",H12:H21,"&gt;="&amp;(TODAY()-365))</f>
        <v/>
      </c>
    </row>
    <row r="26" ht="15" customHeight="1">
      <c r="A26" s="4" t="inlineStr">
        <is>
          <t>Overdue for verification</t>
        </is>
      </c>
      <c r="B26" s="26" t="n"/>
      <c r="C26" s="13">
        <f>COUNTIFS(A12:A21,"&lt;&gt;",H12:H21,"&lt;"&amp;(TODAY()-365))</f>
        <v/>
      </c>
    </row>
    <row r="27" ht="15" customHeight="1">
      <c r="A27" s="4" t="inlineStr">
        <is>
          <t>Awaiting first verification</t>
        </is>
      </c>
      <c r="B27" s="26" t="n"/>
      <c r="C27" s="13">
        <f>COUNTIFS(A12:A21,"&lt;&gt;",H12:H21,"")</f>
        <v/>
      </c>
    </row>
    <row r="28" ht="15" customHeight="1">
      <c r="A28" s="4" t="n"/>
      <c r="B28" s="26" t="n"/>
      <c r="C28" s="13" t="n"/>
    </row>
    <row r="29" ht="15" customHeight="1">
      <c r="A29" s="4" t="n"/>
      <c r="B29" s="26" t="n"/>
      <c r="C29" s="13" t="n"/>
    </row>
    <row r="31" ht="15" customHeight="1">
      <c r="A31" s="5" t="inlineStr">
        <is>
          <t>Source Authority</t>
        </is>
      </c>
    </row>
    <row r="32" ht="15" customHeight="1">
      <c r="A32" s="9" t="inlineStr">
        <is>
          <t>« List only the authorities that map to entries in this register. Group by authority; order numerically. No padding. »</t>
        </is>
      </c>
    </row>
    <row r="33" ht="15" customHeight="1">
      <c r="A33" s="3" t="inlineStr">
        <is>
          <t>NENA-STA-040.2-2024: §5.6.5 (Incident Detection and Response)</t>
        </is>
      </c>
    </row>
    <row r="34" ht="15" customHeight="1">
      <c r="A34" s="3" t="inlineStr">
        <is>
          <t>NIST SP 800-53 Rev. 5: IR-4, IR-6, IR-7</t>
        </is>
      </c>
    </row>
    <row r="35" ht="15" customHeight="1">
      <c r="A35" s="3" t="inlineStr">
        <is>
          <t>Indiana statutes and administrative code: HEA 1169 (2021): Cyber Incident Reporting to IOT; IC 24-4.9: Data Breach Notification</t>
        </is>
      </c>
    </row>
    <row r="36" ht="15" customHeight="1">
      <c r="A36" s="3" t="inlineStr">
        <is>
          <t>CJIS Security Policy v5.9: §5.3 (Incident Response) (CJIS-regulated data in scope, via IDACS)</t>
        </is>
      </c>
    </row>
    <row r="38" ht="15" customHeight="1">
      <c r="A38" s="5" t="inlineStr">
        <is>
          <t>Approval Signatures</t>
        </is>
      </c>
    </row>
    <row r="39" ht="17" customHeight="1">
      <c r="A39" s="11" t="inlineStr">
        <is>
          <t>Role</t>
        </is>
      </c>
      <c r="B39" s="11" t="inlineStr">
        <is>
          <t>Name</t>
        </is>
      </c>
      <c r="C39" s="11" t="inlineStr">
        <is>
          <t>Signature</t>
        </is>
      </c>
      <c r="D39" s="11" t="inlineStr">
        <is>
          <t>Date</t>
        </is>
      </c>
      <c r="E39" s="14" t="n"/>
      <c r="F39" s="14" t="n"/>
      <c r="G39" s="14" t="n"/>
    </row>
    <row r="40" ht="51" customHeight="1">
      <c r="A40" s="12" t="inlineStr">
        <is>
          <t>[Approving official / title]</t>
        </is>
      </c>
      <c r="B40" s="15" t="n"/>
      <c r="C40" s="15" t="n"/>
      <c r="D40" s="15" t="n"/>
    </row>
    <row r="41" ht="34" customHeight="1">
      <c r="A41" s="12" t="inlineStr">
        <is>
          <t>[Owner role]</t>
        </is>
      </c>
      <c r="B41" s="15" t="n"/>
      <c r="C41" s="15" t="n"/>
      <c r="D41" s="15" t="n"/>
    </row>
    <row r="43" ht="15" customHeight="1">
      <c r="A43" s="5" t="inlineStr">
        <is>
          <t>Revision History</t>
        </is>
      </c>
    </row>
    <row r="44" ht="17" customHeight="1">
      <c r="A44" s="11" t="inlineStr">
        <is>
          <t>Version</t>
        </is>
      </c>
      <c r="B44" s="11" t="inlineStr">
        <is>
          <t>Date</t>
        </is>
      </c>
      <c r="C44" s="11" t="inlineStr">
        <is>
          <t>Author</t>
        </is>
      </c>
      <c r="D44" s="11" t="inlineStr">
        <is>
          <t>Summary of Change</t>
        </is>
      </c>
      <c r="E44" s="14" t="n"/>
      <c r="F44" s="14" t="n"/>
      <c r="G44" s="14" t="n"/>
    </row>
    <row r="45" ht="17" customHeight="1">
      <c r="A45" s="12" t="inlineStr">
        <is>
          <t>[#]</t>
        </is>
      </c>
      <c r="B45" s="12" t="inlineStr">
        <is>
          <t>[Date]</t>
        </is>
      </c>
      <c r="C45" s="12" t="inlineStr">
        <is>
          <t>[Role]</t>
        </is>
      </c>
      <c r="D45" s="12" t="inlineStr">
        <is>
          <t>[Initial issue]</t>
        </is>
      </c>
      <c r="E45" s="12" t="n"/>
      <c r="F45" s="12" t="n"/>
      <c r="G45" s="12" t="n"/>
    </row>
    <row r="47" ht="30" customHeight="1">
      <c r="A47" s="2" t="inlineStr">
        <is>
          <t>Drafter's note (internal, delete before publishing): Inventory/Register form, build-order #67 (A-016). Reshaped from the generic register into an incident call-and-escalation roster: the Status / Last-Reviewed / Next-Review columns were replaced with contact, tier-trigger, escalation-order, and last-verified columns, and the status COUNTIF summary was swapped for a verification-currency check keyed to the annual-update requirement. Consolidates the notification-matrix and external-contact-list functions the source spec listed separately. Classification Confidential / CJIS per the Tracker. Maintained separately from the Incident Response Plan for operational use.</t>
        </is>
      </c>
    </row>
  </sheetData>
  <mergeCells count="30">
    <mergeCell ref="A9:H9"/>
    <mergeCell ref="A24:B24"/>
    <mergeCell ref="A36:H36"/>
    <mergeCell ref="A1:H1"/>
    <mergeCell ref="A6:B6"/>
    <mergeCell ref="A25:B25"/>
    <mergeCell ref="A7:B7"/>
    <mergeCell ref="A27:B27"/>
    <mergeCell ref="A3:B3"/>
    <mergeCell ref="C7:H7"/>
    <mergeCell ref="A26:B26"/>
    <mergeCell ref="A2:H2"/>
    <mergeCell ref="A5:B5"/>
    <mergeCell ref="A33:H33"/>
    <mergeCell ref="A47:H47"/>
    <mergeCell ref="C3:H3"/>
    <mergeCell ref="A23:H23"/>
    <mergeCell ref="A32:H32"/>
    <mergeCell ref="A4:B4"/>
    <mergeCell ref="C6:H6"/>
    <mergeCell ref="A29:B29"/>
    <mergeCell ref="A35:H35"/>
    <mergeCell ref="A34:H34"/>
    <mergeCell ref="A43:H43"/>
    <mergeCell ref="A38:H38"/>
    <mergeCell ref="C5:H5"/>
    <mergeCell ref="A28:B28"/>
    <mergeCell ref="A10:H10"/>
    <mergeCell ref="C4:H4"/>
    <mergeCell ref="A31:H31"/>
  </mergeCells>
  <dataValidations count="1">
    <dataValidation sqref="E12:E21" showDropDown="0" showInputMessage="0" showErrorMessage="0" allowBlank="1" promptTitle="Status" prompt="Select a status" type="list">
      <formula1>"Active,Under Review,Retired,Decommissioned"</formula1>
      <formula2>0</formula2>
    </dataValidation>
  </dataValidations>
  <pageMargins left="0.75" right="0.75" top="1" bottom="1" header="0.511811023622047" footer="0.511811023622047"/>
  <pageSetup orientation="landscape" fitToHeight="0" fitToWidth="1" horizontalDpi="300" verticalDpi="300"/>
</worksheet>
</file>

<file path=xl/worksheets/sheet2.xml><?xml version="1.0" encoding="utf-8"?>
<worksheet xmlns="http://schemas.openxmlformats.org/spreadsheetml/2006/main">
  <sheetPr>
    <outlinePr summaryBelow="1" summaryRight="1"/>
    <pageSetUpPr/>
  </sheetPr>
  <dimension ref="A1:D22"/>
  <sheetViews>
    <sheetView showGridLines="0" zoomScaleNormal="100" workbookViewId="0">
      <selection activeCell="A1" sqref="A1"/>
    </sheetView>
  </sheetViews>
  <sheetFormatPr baseColWidth="10" defaultColWidth="8.6640625" defaultRowHeight="15"/>
  <cols>
    <col width="22" customWidth="1" min="1" max="1"/>
    <col width="46" customWidth="1" min="2" max="2"/>
    <col width="14" customWidth="1" min="3" max="3"/>
    <col width="34" customWidth="1" min="4" max="4"/>
  </cols>
  <sheetData>
    <row r="1" ht="25.5" customHeight="1">
      <c r="A1" s="10" t="inlineStr">
        <is>
          <t>Column Instructions &amp; How to Use</t>
        </is>
      </c>
    </row>
    <row r="2" ht="43.5" customHeight="1">
      <c r="A2" s="1" t="inlineStr">
        <is>
          <t>How to use this template: list every party to call during an incident, one row each. Use Escalation Order for the call sequence and Triggers at Tier to show which severity levels call each party. Verify every contact at least annually. Replace every [BRACKETED] field and delete every « » note before publishing.</t>
        </is>
      </c>
    </row>
    <row r="3" ht="29.75" customHeight="1">
      <c r="A3" s="9" t="inlineStr">
        <is>
          <t>Placeholder key:  [BRACKETED] = fill in   ·   « » = guidance to delete.  Classification, Source Authority, signatures and revision history live on the Register tab.</t>
        </is>
      </c>
    </row>
    <row r="5" ht="16" customHeight="1">
      <c r="A5" s="16" t="inlineStr">
        <is>
          <t>The columns this list uses</t>
        </is>
      </c>
    </row>
    <row r="6" ht="24" customHeight="1">
      <c r="A6" s="11" t="inlineStr">
        <is>
          <t>Column</t>
        </is>
      </c>
      <c r="B6" s="11" t="inlineStr">
        <is>
          <t>What it holds</t>
        </is>
      </c>
      <c r="C6" s="11" t="inlineStr">
        <is>
          <t>Required?</t>
        </is>
      </c>
      <c r="D6" s="11" t="inlineStr">
        <is>
          <t>Example value</t>
        </is>
      </c>
    </row>
    <row r="7" ht="30" customHeight="1">
      <c r="A7" s="17" t="inlineStr">
        <is>
          <t>ID</t>
        </is>
      </c>
      <c r="B7" s="12" t="inlineStr">
        <is>
          <t>Stable, unique ID for the contact entry.</t>
        </is>
      </c>
      <c r="C7" s="12" t="inlineStr">
        <is>
          <t>Required</t>
        </is>
      </c>
      <c r="D7" s="12" t="inlineStr">
        <is>
          <t>CN-014</t>
        </is>
      </c>
    </row>
    <row r="8" ht="30" customHeight="1">
      <c r="A8" s="17" t="inlineStr">
        <is>
          <t>Contact (Party &amp; Role)</t>
        </is>
      </c>
      <c r="B8" s="12" t="inlineStr">
        <is>
          <t>The party or role to contact. Names a person in the adopted list: this is why it is Confidential.</t>
        </is>
      </c>
      <c r="C8" s="12" t="inlineStr">
        <is>
          <t>Required</t>
        </is>
      </c>
      <c r="D8" s="12" t="inlineStr">
        <is>
          <t>IT support (county)</t>
        </is>
      </c>
    </row>
    <row r="9" ht="30" customHeight="1">
      <c r="A9" s="17" t="inlineStr">
        <is>
          <t>Primary Contact</t>
        </is>
      </c>
      <c r="B9" s="12" t="inlineStr">
        <is>
          <t>Primary phone, email, or reporting channel.</t>
        </is>
      </c>
      <c r="C9" s="12" t="inlineStr">
        <is>
          <t>Required</t>
        </is>
      </c>
      <c r="D9" s="12" t="inlineStr">
        <is>
          <t>24x7 support line</t>
        </is>
      </c>
    </row>
    <row r="10" ht="30" customHeight="1">
      <c r="A10" s="17" t="inlineStr">
        <is>
          <t>Alternate Contact</t>
        </is>
      </c>
      <c r="B10" s="12" t="inlineStr">
        <is>
          <t>Fallback contact when the primary cannot be reached.</t>
        </is>
      </c>
      <c r="C10" s="12" t="inlineStr">
        <is>
          <t>When applicable</t>
        </is>
      </c>
      <c r="D10" s="12" t="inlineStr">
        <is>
          <t>After-hours on-call</t>
        </is>
      </c>
    </row>
    <row r="11" ht="30" customHeight="1">
      <c r="A11" s="17" t="inlineStr">
        <is>
          <t>Triggers at Tier</t>
        </is>
      </c>
      <c r="B11" s="12" t="inlineStr">
        <is>
          <t>Which severity tiers call this party, keyed to the Incident Classification &amp; Severity Matrix.</t>
        </is>
      </c>
      <c r="C11" s="12" t="inlineStr">
        <is>
          <t>Required</t>
        </is>
      </c>
      <c r="D11" s="12" t="inlineStr">
        <is>
          <t>Sev 1-2</t>
        </is>
      </c>
    </row>
    <row r="12" ht="30" customHeight="1">
      <c r="A12" s="17" t="inlineStr">
        <is>
          <t>Escalation Order</t>
        </is>
      </c>
      <c r="B12" s="12" t="inlineStr">
        <is>
          <t>Position in the call sequence for the relevant tier.</t>
        </is>
      </c>
      <c r="C12" s="12" t="inlineStr">
        <is>
          <t>Required</t>
        </is>
      </c>
      <c r="D12" s="12" t="inlineStr">
        <is>
          <t>2</t>
        </is>
      </c>
    </row>
    <row r="13" ht="30" customHeight="1">
      <c r="A13" s="17" t="inlineStr">
        <is>
          <t>Availability</t>
        </is>
      </c>
      <c r="B13" s="12" t="inlineStr">
        <is>
          <t>When the party can be reached (hours, on-call, contract terms).</t>
        </is>
      </c>
      <c r="C13" s="12" t="inlineStr">
        <is>
          <t>Optional</t>
        </is>
      </c>
      <c r="D13" s="12" t="inlineStr">
        <is>
          <t>Business hrs + on-call</t>
        </is>
      </c>
    </row>
    <row r="14">
      <c r="A14" t="inlineStr">
        <is>
          <t>Last Verified</t>
        </is>
      </c>
      <c r="B14" t="inlineStr">
        <is>
          <t>Date the contact was last confirmed correct. Drives the verification-currency summary.</t>
        </is>
      </c>
      <c r="C14" t="inlineStr">
        <is>
          <t>Required</t>
        </is>
      </c>
      <c r="D14" t="inlineStr">
        <is>
          <t>2026-03-01</t>
        </is>
      </c>
    </row>
    <row r="15" ht="29.75" customHeight="1">
      <c r="A15" s="9" t="inlineStr">
        <is>
          <t>« Summary on the Register tab counts total contacts and flags those verified within the last year, overdue for verification, or awaiting a first verification. »</t>
        </is>
      </c>
    </row>
    <row r="17" ht="20" customHeight="1">
      <c r="A17" s="18" t="inlineStr">
        <is>
          <t>Profile Scaling Notes</t>
        </is>
      </c>
      <c r="B17" s="23" t="n"/>
      <c r="C17" s="23" t="n"/>
      <c r="D17" s="22" t="n"/>
    </row>
    <row r="18" ht="30" customHeight="1">
      <c r="A18" s="19" t="inlineStr">
        <is>
          <t>What minimum-viable upkeep looks like at each PSAP size. Keep all three rows while this ships as a template; once adopted, keep the one that fits.</t>
        </is>
      </c>
    </row>
    <row r="19">
      <c r="A19" s="18" t="inlineStr">
        <is>
          <t>PSAP Profile</t>
        </is>
      </c>
      <c r="B19" s="18" t="inlineStr">
        <is>
          <t>Minimum-viable implementation</t>
        </is>
      </c>
      <c r="C19" s="23" t="n"/>
      <c r="D19" s="22" t="n"/>
    </row>
    <row r="20" ht="42" customHeight="1">
      <c r="A20" s="20" t="inlineStr">
        <is>
          <t>Small (1–5, no in-house IT)</t>
        </is>
      </c>
      <c r="B20" s="21" t="inlineStr">
        <is>
          <t>Maintain this by hand. One person, usually the director, keeps it current on the review cycle in the header block.</t>
        </is>
      </c>
      <c r="C20" s="23" t="n"/>
      <c r="D20" s="22" t="n"/>
    </row>
    <row r="21" ht="42" customHeight="1">
      <c r="A21" s="20" t="inlineStr">
        <is>
          <t>Medium (6–25, shared county IT)</t>
        </is>
      </c>
      <c r="B21" s="21" t="inlineStr">
        <is>
          <t>A named coordinator owns it, updates it on a set cadence, and reconciles it at each periodic review.</t>
        </is>
      </c>
      <c r="C21" s="23" t="n"/>
      <c r="D21" s="22" t="n"/>
    </row>
    <row r="22" ht="42" customHeight="1">
      <c r="A22" s="20" t="inlineStr">
        <is>
          <t>Large (25+, dedicated IT/security)</t>
        </is>
      </c>
      <c r="B22" s="21" t="inlineStr">
        <is>
          <t>Where a system of record exists (asset, identity, badge, or finance system), populate it from there on a schedule and treat this sheet as the reviewed record.</t>
        </is>
      </c>
      <c r="C22" s="23" t="n"/>
      <c r="D22" s="22" t="n"/>
    </row>
  </sheetData>
  <mergeCells count="10">
    <mergeCell ref="A1:D1"/>
    <mergeCell ref="A17:D17"/>
    <mergeCell ref="A18:D18"/>
    <mergeCell ref="B19:D19"/>
    <mergeCell ref="B22:D22"/>
    <mergeCell ref="A3:D3"/>
    <mergeCell ref="A15:D15"/>
    <mergeCell ref="B21:D21"/>
    <mergeCell ref="A2:D2"/>
    <mergeCell ref="B20:D20"/>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2026-06-01T15:16:29Z</dcterms:created>
  <dcterms:modified xmlns:dcterms="http://purl.org/dc/terms/" xmlns:xsi="http://www.w3.org/2001/XMLSchema-instance" xsi:type="dcterms:W3CDTF">2026-07-09T14:15:10Z</dcterms:modified>
  <cp:lastModifiedBy>Jason Jeffares</cp:lastModifiedBy>
  <cp:revision>0</cp:revision>
</cp:coreProperties>
</file>
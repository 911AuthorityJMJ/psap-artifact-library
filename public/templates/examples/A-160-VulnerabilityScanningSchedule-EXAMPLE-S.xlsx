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2340" windowHeight="21660" tabRatio="500" firstSheet="0" autoFilterDateGrouping="1"/>
  </bookViews>
  <sheets>
    <sheet xmlns:r="http://schemas.openxmlformats.org/officeDocument/2006/relationships" name="Schedule" sheetId="1" state="visible" r:id="rId1"/>
  </sheets>
  <definedNames>
    <definedName name="_xlnm.Print_Titles" localSheetId="0">Schedule!$10:$10</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9">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4" fillId="0" borderId="2"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6" fillId="0" borderId="2" applyAlignment="1" pivotButton="0" quotePrefix="0" xfId="0">
      <alignment horizontal="left" vertical="center"/>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5" pivotButton="0" quotePrefix="0" xfId="0"/>
    <xf numFmtId="0" fontId="0" fillId="0" borderId="6" pivotButton="0" quotePrefix="0" xfId="0"/>
    <xf numFmtId="0" fontId="7" fillId="2" borderId="1" applyAlignment="1" pivotButton="0" quotePrefix="0" xfId="0">
      <alignment horizontal="center" vertical="center" wrapText="1"/>
    </xf>
    <xf numFmtId="0" fontId="0" fillId="0" borderId="2" pivotButton="0" quotePrefix="0" xfId="0"/>
    <xf applyNumberFormat="1" numFmtId="164" fontId="4" fillId="0" borderId="1" applyAlignment="1" pivotButton="0" quotePrefix="0" xfId="0">
      <alignment horizontal="left" vertical="top" wrapText="1"/>
    </xf>
    <xf applyNumberFormat="1" numFmtId="164" fontId="4" fillId="0" borderId="1" pivotButton="0" quotePrefix="0" xfId="0"/>
    <xf applyNumberFormat="1" numFmtId="164" fontId="1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7</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14</row>
      <rowOff>0</rowOff>
    </from>
    <ext cx="447675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27</row>
      <rowOff>0</rowOff>
    </from>
    <ext cx="447675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39</row>
      <rowOff>0</rowOff>
    </from>
    <ext cx="447675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48"/>
  <sheetViews>
    <sheetView showGridLines="0" tabSelected="1" zoomScaleNormal="100" workbookViewId="0">
      <pane ySplit="10" topLeftCell="A11" activePane="bottomLeft" state="frozen"/>
      <selection pane="bottomLeft" activeCell="A11" sqref="A11"/>
    </sheetView>
  </sheetViews>
  <sheetFormatPr baseColWidth="10" defaultColWidth="8.6640625" defaultRowHeight="15"/>
  <cols>
    <col width="30" customWidth="1" min="1" max="1"/>
    <col width="26" customWidth="1" min="2" max="2"/>
    <col width="18" customWidth="1" min="3" max="3"/>
    <col width="13" customWidth="1" min="4" max="4"/>
    <col width="18" customWidth="1" min="5" max="6"/>
    <col width="13" customWidth="1" min="6" max="6"/>
    <col width="13" customWidth="1" min="7" max="7"/>
  </cols>
  <sheetData>
    <row r="1" ht="25.5" customHeight="1">
      <c r="A1" s="10" t="inlineStr">
        <is>
          <t>Vulnerability Scanning Schedule</t>
        </is>
      </c>
    </row>
    <row r="2" ht="15" customHeight="1">
      <c r="A2" s="9" t="n"/>
    </row>
    <row r="3" ht="34.7" customHeight="1">
      <c r="A3" s="8" t="inlineStr">
        <is>
          <t>Authority</t>
        </is>
      </c>
      <c r="B3" s="22" t="n"/>
      <c r="C3" s="7" t="inlineStr">
        <is>
          <t>Adopted by Hickory County 911 under the authority of Tracy Holloway, 911 Director.</t>
        </is>
      </c>
      <c r="D3" s="23" t="n"/>
      <c r="E3" s="23" t="n"/>
      <c r="F3" s="23" t="n"/>
      <c r="G3" s="22" t="n"/>
    </row>
    <row r="4" ht="30" customHeight="1">
      <c r="A4" s="8" t="inlineStr">
        <is>
          <t>Owner</t>
        </is>
      </c>
      <c r="B4" s="22" t="n"/>
      <c r="C4" s="7" t="inlineStr">
        <is>
          <t>County IT Administrator</t>
        </is>
      </c>
      <c r="D4" s="23" t="n"/>
      <c r="E4" s="23" t="n"/>
      <c r="F4" s="23" t="n"/>
      <c r="G4" s="22" t="n"/>
    </row>
    <row r="5" ht="15" customHeight="1">
      <c r="A5" s="8" t="inlineStr">
        <is>
          <t>Version / Dates</t>
        </is>
      </c>
      <c r="B5" s="22" t="n"/>
      <c r="C5" s="7" t="inlineStr">
        <is>
          <t>Version 1.0      Effective Date 2026-01-15      Next Review 2027-01-15</t>
        </is>
      </c>
      <c r="D5" s="23" t="n"/>
      <c r="E5" s="23" t="n"/>
      <c r="F5" s="23" t="n"/>
      <c r="G5" s="22" t="n"/>
    </row>
    <row r="6" ht="32" customHeight="1">
      <c r="A6" s="8" t="inlineStr">
        <is>
          <t>Classification</t>
        </is>
      </c>
      <c r="B6" s="22" t="n"/>
      <c r="C6" s="6" t="inlineStr">
        <is>
          <t>Restricted</t>
        </is>
      </c>
      <c r="D6" s="23" t="n"/>
      <c r="E6" s="23" t="n"/>
      <c r="F6" s="23" t="n"/>
      <c r="G6" s="22" t="n"/>
    </row>
    <row r="7"/>
    <row r="8" ht="15" customHeight="1">
      <c r="A8" s="5" t="inlineStr">
        <is>
          <t>Schedule</t>
        </is>
      </c>
    </row>
    <row r="9" ht="15" customHeight="1">
      <c r="A9" s="9" t="n"/>
    </row>
    <row r="10" ht="30" customHeight="1">
      <c r="A10" s="11" t="inlineStr">
        <is>
          <t>Scan / assessment activity</t>
        </is>
      </c>
      <c r="B10" s="11" t="inlineStr">
        <is>
          <t>Scope</t>
        </is>
      </c>
      <c r="C10" s="11" t="inlineStr">
        <is>
          <t>Tool / method</t>
        </is>
      </c>
      <c r="D10" s="11" t="inlineStr">
        <is>
          <t>Frequency</t>
        </is>
      </c>
      <c r="E10" s="11" t="inlineStr">
        <is>
          <t>Owner (role)</t>
        </is>
      </c>
      <c r="F10" s="11" t="inlineStr">
        <is>
          <t>Last run</t>
        </is>
      </c>
      <c r="G10" s="24" t="inlineStr">
        <is>
          <t>Next due</t>
        </is>
      </c>
    </row>
    <row r="11" ht="34.7" customHeight="1">
      <c r="A11" s="12" t="inlineStr">
        <is>
          <t>Automated vulnerability scan</t>
        </is>
      </c>
      <c r="B11" s="12" t="inlineStr">
        <is>
          <t>All servers, workstations, network</t>
        </is>
      </c>
      <c r="C11" s="12" t="inlineStr">
        <is>
          <t>County scanner</t>
        </is>
      </c>
      <c r="D11" s="12" t="inlineStr">
        <is>
          <t>Monthly</t>
        </is>
      </c>
      <c r="E11" s="12" t="inlineStr">
        <is>
          <t>County IT Administrator</t>
        </is>
      </c>
      <c r="F11" s="26">
        <v>46203</v>
      </c>
      <c r="G11" s="28">
        <v>46234</v>
      </c>
    </row>
    <row r="12" ht="34.7" customHeight="1">
      <c r="A12" s="12" t="inlineStr">
        <is>
          <t>Authenticated / credentialed scan</t>
        </is>
      </c>
      <c r="B12" s="12" t="inlineStr">
        <is>
          <t>Critical systems: CAD, call-handling</t>
        </is>
      </c>
      <c r="C12" s="12" t="inlineStr">
        <is>
          <t>County scanner</t>
        </is>
      </c>
      <c r="D12" s="12" t="inlineStr">
        <is>
          <t>Quarterly</t>
        </is>
      </c>
      <c r="E12" s="12" t="inlineStr">
        <is>
          <t>County IT Administrator</t>
        </is>
      </c>
      <c r="F12" s="26">
        <v>46142</v>
      </c>
      <c r="G12" s="28">
        <v>46234</v>
      </c>
    </row>
    <row r="13" ht="34.7" customHeight="1">
      <c r="A13" s="12" t="inlineStr">
        <is>
          <t>Penetration test (independent assessor)</t>
        </is>
      </c>
      <c r="B13" s="12" t="inlineStr">
        <is>
          <t>Public-safety systems in scope</t>
        </is>
      </c>
      <c r="C13" s="12" t="inlineStr">
        <is>
          <t>Third-party assessor</t>
        </is>
      </c>
      <c r="D13" s="12" t="inlineStr">
        <is>
          <t>Annually</t>
        </is>
      </c>
      <c r="E13" s="12" t="inlineStr">
        <is>
          <t>Director</t>
        </is>
      </c>
      <c r="F13" s="26">
        <v>45945</v>
      </c>
      <c r="G13" s="28">
        <v>46310</v>
      </c>
    </row>
    <row r="14" ht="34.7" customHeight="1">
      <c r="A14" s="12" t="inlineStr">
        <is>
          <t>Independent control assessment</t>
        </is>
      </c>
      <c r="B14" s="12" t="inlineStr">
        <is>
          <t>Assessment scope per risk review</t>
        </is>
      </c>
      <c r="C14" s="12" t="inlineStr">
        <is>
          <t>Contracted assessor</t>
        </is>
      </c>
      <c r="D14" s="12" t="inlineStr">
        <is>
          <t>Annually</t>
        </is>
      </c>
      <c r="E14" s="12" t="inlineStr">
        <is>
          <t>Director</t>
        </is>
      </c>
      <c r="F14" s="26">
        <v>45945</v>
      </c>
      <c r="G14" s="28">
        <v>46142</v>
      </c>
    </row>
    <row r="15" ht="19.5" customHeight="1">
      <c r="A15" s="12" t="n"/>
      <c r="B15" s="12" t="n"/>
      <c r="C15" s="12" t="n"/>
      <c r="D15" s="12" t="n"/>
      <c r="E15" s="12" t="n"/>
      <c r="F15" s="12" t="n"/>
      <c r="G15" s="21" t="n"/>
    </row>
    <row r="16" ht="19.5" customHeight="1">
      <c r="A16" s="12" t="n"/>
      <c r="B16" s="12" t="n"/>
      <c r="C16" s="12" t="n"/>
      <c r="D16" s="12" t="n"/>
      <c r="E16" s="12" t="n"/>
      <c r="F16" s="12" t="n"/>
      <c r="G16" s="21" t="n"/>
    </row>
    <row r="17" ht="19.5" customHeight="1">
      <c r="A17" s="12" t="n"/>
      <c r="B17" s="12" t="n"/>
      <c r="C17" s="12" t="n"/>
      <c r="D17" s="12" t="n"/>
      <c r="E17" s="12" t="n"/>
      <c r="F17" s="12" t="n"/>
      <c r="G17" s="21" t="n"/>
    </row>
    <row r="18" ht="19.5" customHeight="1">
      <c r="A18" s="12" t="n"/>
      <c r="B18" s="12" t="n"/>
      <c r="C18" s="12" t="n"/>
      <c r="D18" s="12" t="n"/>
      <c r="E18" s="12" t="n"/>
      <c r="F18" s="12" t="n"/>
      <c r="G18" s="21" t="n"/>
    </row>
    <row r="19" ht="19.5" customHeight="1">
      <c r="A19" s="12" t="n"/>
      <c r="B19" s="12" t="n"/>
      <c r="C19" s="12" t="n"/>
      <c r="D19" s="12" t="n"/>
      <c r="E19" s="12" t="n"/>
      <c r="F19" s="12" t="n"/>
      <c r="G19" s="21" t="n"/>
    </row>
    <row r="20" ht="19.5" customHeight="1">
      <c r="A20" s="12" t="n"/>
      <c r="B20" s="12" t="n"/>
      <c r="C20" s="12" t="n"/>
      <c r="D20" s="12" t="n"/>
      <c r="E20" s="12" t="n"/>
      <c r="F20" s="12" t="n"/>
      <c r="G20" s="21" t="n"/>
    </row>
    <row r="21"/>
    <row r="22" ht="15" customHeight="1">
      <c r="A22" s="5" t="inlineStr">
        <is>
          <t>Summary (as of 2026-05-01)</t>
        </is>
      </c>
    </row>
    <row r="23" ht="15" customHeight="1">
      <c r="A23" s="4" t="inlineStr">
        <is>
          <t>Items tracked</t>
        </is>
      </c>
      <c r="B23" s="25" t="n"/>
      <c r="C23" s="13">
        <f>COUNTA(A11:A20)</f>
      </c>
    </row>
    <row r="24" ht="15" customHeight="1">
      <c r="A24" s="4" t="inlineStr">
        <is>
          <t>Past due (by next-due date)</t>
        </is>
      </c>
      <c r="B24" s="25" t="n"/>
      <c r="C24" s="13">
        <f>COUNTIF(G11:G20,"&lt;"&amp;DATE(2026,5,1))</f>
      </c>
    </row>
    <row r="25" ht="15" customHeight="1">
      <c r="A25" s="4" t="n"/>
      <c r="B25" s="25" t="n"/>
      <c r="C25" s="13" t="n"/>
    </row>
    <row r="26"/>
    <row r="27" ht="15" customHeight="1">
      <c r="A27" s="5" t="inlineStr">
        <is>
          <t>Escalation for Missed Items</t>
        </is>
      </c>
    </row>
    <row r="28" ht="15" customHeight="1">
      <c r="A28" s="9" t="n"/>
    </row>
    <row r="29" ht="50.5" customHeight="1">
      <c r="A29" s="3" t="inlineStr">
        <is>
          <t>When a scan or assessment is past due, the County IT Administrator is notified and the item is completed or rescheduled within 10 business days. Findings from every scan and assessment are recorded in the Vulnerability Assessment Reports and tracked to closure in the Risk / Finding Register.</t>
        </is>
      </c>
    </row>
    <row r="30"/>
    <row r="31" ht="15" customHeight="1">
      <c r="A31" s="5" t="inlineStr">
        <is>
          <t>Source Authority</t>
        </is>
      </c>
    </row>
    <row r="32" ht="15" customHeight="1">
      <c r="A32" s="9" t="n"/>
    </row>
    <row r="33" ht="15" customHeight="1">
      <c r="A33" s="3" t="inlineStr">
        <is>
          <t>NENA-STA-040.2-2024: §5.2</t>
        </is>
      </c>
    </row>
    <row r="34" ht="15" customHeight="1">
      <c r="A34" s="3" t="inlineStr">
        <is>
          <t>NIST SP 800-53 Rev. 5: CA-2, CA-8, RA-5</t>
        </is>
      </c>
    </row>
    <row r="35" ht="15" customHeight="1">
      <c r="A35" s="3" t="n"/>
    </row>
    <row r="36" ht="15" customHeight="1">
      <c r="A36" s="3" t="n"/>
    </row>
    <row r="37"/>
    <row r="38"/>
    <row r="39" ht="15" customHeight="1">
      <c r="A39" s="5" t="inlineStr">
        <is>
          <t>Approval</t>
        </is>
      </c>
    </row>
    <row r="40" ht="17" customHeight="1">
      <c r="A40" s="11" t="inlineStr">
        <is>
          <t>Role</t>
        </is>
      </c>
      <c r="B40" s="11" t="inlineStr">
        <is>
          <t>Name</t>
        </is>
      </c>
      <c r="C40" s="11" t="inlineStr">
        <is>
          <t>Signature</t>
        </is>
      </c>
      <c r="D40" s="11" t="inlineStr">
        <is>
          <t>Date</t>
        </is>
      </c>
      <c r="E40" s="14" t="n"/>
      <c r="F40" s="14" t="n"/>
    </row>
    <row r="41" ht="17" customHeight="1">
      <c r="A41" s="12" t="inlineStr">
        <is>
          <t>County IT Administrator</t>
        </is>
      </c>
      <c r="B41" s="15" t="inlineStr">
        <is>
          <t>Marcus Reed</t>
        </is>
      </c>
      <c r="C41" s="15" t="inlineStr">
        <is>
          <t>/s/ Marcus Reed</t>
        </is>
      </c>
      <c r="D41" s="27">
        <v>46037</v>
      </c>
      <c r="E41" s="15" t="n"/>
      <c r="F41" s="15" t="n"/>
    </row>
    <row r="42" ht="17" customHeight="1">
      <c r="A42" s="12" t="inlineStr">
        <is>
          <t>Director</t>
        </is>
      </c>
      <c r="B42" s="15" t="inlineStr">
        <is>
          <t>Tracy Holloway</t>
        </is>
      </c>
      <c r="C42" s="15" t="inlineStr">
        <is>
          <t>/s/ Tracy Holloway</t>
        </is>
      </c>
      <c r="D42" s="27">
        <v>46037</v>
      </c>
      <c r="E42" s="15" t="n"/>
      <c r="F42" s="15" t="n"/>
    </row>
    <row r="43"/>
    <row r="44" ht="15" customHeight="1">
      <c r="A44" s="5" t="inlineStr">
        <is>
          <t>Revision History</t>
        </is>
      </c>
    </row>
    <row r="45" ht="34" customHeight="1">
      <c r="A45" s="11" t="inlineStr">
        <is>
          <t>Version</t>
        </is>
      </c>
      <c r="B45" s="11" t="inlineStr">
        <is>
          <t>Date</t>
        </is>
      </c>
      <c r="C45" s="11" t="inlineStr">
        <is>
          <t>Author</t>
        </is>
      </c>
      <c r="D45" s="11" t="inlineStr">
        <is>
          <t>Summary of Change</t>
        </is>
      </c>
      <c r="E45" s="14" t="n"/>
      <c r="F45" s="14" t="n"/>
    </row>
    <row r="46" ht="34.7" customHeight="1">
      <c r="A46" s="12" t="inlineStr">
        <is>
          <t>1.0</t>
        </is>
      </c>
      <c r="B46" s="26">
        <v>46037</v>
      </c>
      <c r="C46" s="12" t="inlineStr">
        <is>
          <t>County IT Administrator</t>
        </is>
      </c>
      <c r="D46" s="12" t="inlineStr">
        <is>
          <t>Initial issue</t>
        </is>
      </c>
      <c r="E46" s="12" t="n"/>
      <c r="F46" s="12" t="n"/>
    </row>
    <row r="47"/>
    <row r="48">
      <c r="A48"/>
    </row>
  </sheetData>
  <mergeCells count="27">
    <mergeCell ref="A32:G32"/>
    <mergeCell ref="A24:B24"/>
    <mergeCell ref="C6:G6"/>
    <mergeCell ref="A8:G8"/>
    <mergeCell ref="A22:G22"/>
    <mergeCell ref="A35:G35"/>
    <mergeCell ref="C5:G5"/>
    <mergeCell ref="A29:G29"/>
    <mergeCell ref="A6:B6"/>
    <mergeCell ref="A28:G28"/>
    <mergeCell ref="A44:G44"/>
    <mergeCell ref="C4:G4"/>
    <mergeCell ref="A9:G9"/>
    <mergeCell ref="A25:B25"/>
    <mergeCell ref="A31:G31"/>
    <mergeCell ref="A39:G39"/>
    <mergeCell ref="A34:G34"/>
    <mergeCell ref="A3:B3"/>
    <mergeCell ref="A36:G36"/>
    <mergeCell ref="A1:G1"/>
    <mergeCell ref="A5:B5"/>
    <mergeCell ref="A23:B23"/>
    <mergeCell ref="A4:B4"/>
    <mergeCell ref="A27:G27"/>
    <mergeCell ref="A2:G2"/>
    <mergeCell ref="A33:G33"/>
    <mergeCell ref="C3:G3"/>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2026-07-13T13:48:11Z</dcterms:modified>
  <cp:lastModifiedBy/>
  <cp:revision>0</cp:revision>
  <dc:title xmlns:dc="http://purl.org/dc/elements/1.1/">Vulnerability Scanning Schedule - EXAMPLE - S</dc:title>
</cp:coreProperties>
</file>
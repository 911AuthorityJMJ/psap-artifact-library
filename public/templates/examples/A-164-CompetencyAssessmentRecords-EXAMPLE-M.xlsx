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Competency Assessments" sheetId="1" state="visible" r:id="rId1"/>
    <sheet xmlns:r="http://schemas.openxmlformats.org/officeDocument/2006/relationships" name="Credentials &amp; CE" sheetId="2" state="visible" r:id="rId2"/>
  </sheets>
  <definedNames>
    <definedName name="_xlnm.Print_Titles" localSheetId="0">'Competency Assessments'!$11:$11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9" customWidth="1" min="1" max="1"/>
    <col width="13" customWidth="1" min="2" max="2"/>
    <col width="24" customWidth="1" min="3" max="3"/>
    <col width="26" customWidth="1" min="4" max="4"/>
    <col width="26" customWidth="1" min="5" max="6"/>
    <col width="24" customWidth="1" min="6" max="6"/>
    <col width="28" customWidth="1" min="7" max="7"/>
    <col width="26" customWidth="1" min="8" max="8"/>
    <col width="16" customWidth="1" min="9" max="9"/>
    <col width="17" customWidth="1" min="10" max="10"/>
  </cols>
  <sheetData>
    <row r="1" ht="25.5" customHeight="1">
      <c r="A1" s="9" t="inlineStr">
        <is>
          <t>Competency Assessment Records</t>
        </is>
      </c>
    </row>
    <row r="2"/>
    <row r="3" ht="18.5" customHeight="1">
      <c r="A3" s="7" t="inlineStr">
        <is>
          <t>Authority</t>
        </is>
      </c>
      <c r="B3" s="21" t="n"/>
      <c r="C3" s="6" t="inlineStr">
        <is>
          <t>Adopted by Wabash Valley Communications under the authority of Anthony Reyes, Director.</t>
        </is>
      </c>
      <c r="D3" s="22" t="n"/>
      <c r="E3" s="22" t="n"/>
      <c r="F3" s="22" t="n"/>
      <c r="G3" s="21" t="n"/>
    </row>
    <row r="4" ht="18.5" customHeight="1">
      <c r="A4" s="7" t="inlineStr">
        <is>
          <t>Owner</t>
        </is>
      </c>
      <c r="B4" s="21" t="n"/>
      <c r="C4" s="6" t="inlineStr">
        <is>
          <t>Security Coordinator</t>
        </is>
      </c>
      <c r="D4" s="22" t="n"/>
      <c r="E4" s="22" t="n"/>
      <c r="F4" s="22" t="n"/>
      <c r="G4" s="21" t="n"/>
    </row>
    <row r="5" ht="18.5" customHeight="1">
      <c r="A5" s="7" t="inlineStr">
        <is>
          <t>Version / Dates</t>
        </is>
      </c>
      <c r="B5" s="21" t="n"/>
      <c r="C5" s="6" t="inlineStr">
        <is>
          <t>Version 1.0      Effective Date 2026-06-29      Next Review 2027-06-29</t>
        </is>
      </c>
      <c r="D5" s="22" t="n"/>
      <c r="E5" s="22" t="n"/>
      <c r="F5" s="22" t="n"/>
      <c r="G5" s="21" t="n"/>
    </row>
    <row r="6" ht="18.5" customHeight="1">
      <c r="A6" s="7" t="inlineStr">
        <is>
          <t>Classification</t>
        </is>
      </c>
      <c r="B6" s="21" t="n"/>
      <c r="C6" s="6" t="inlineStr">
        <is>
          <t>Confidential / CJIS</t>
        </is>
      </c>
      <c r="D6" s="22" t="n"/>
      <c r="E6" s="22" t="n"/>
      <c r="F6" s="22" t="n"/>
      <c r="G6" s="21" t="n"/>
    </row>
    <row r="7" ht="82.2" customHeight="1">
      <c r="A7" s="7" t="inlineStr">
        <is>
          <t>Coverage / Scope</t>
        </is>
      </c>
      <c r="B7" s="21" t="n"/>
      <c r="C7" s="6" t="inlineStr">
        <is>
          <t>Covers competency assessments for 2026, with the prior years retained per the retention line below. Scope: every person assigned Role-Specific Training Materials Tracks A through D. Tracks E and F are assessed by observation and are recorded here as well. This record holds demonstrated capability; course attendance and the pass mark live in the Training Completion Records. Reviewer (role): Security Coordinator. CJIS Handling: this record evidences competency for staff who reach CJIS-regulated systems through IDACS; apply CJIS Security Policy v5.9 §5.2 and 240 IAC 5 in addition to the requirements above.</t>
        </is>
      </c>
      <c r="D7" s="22" t="n"/>
      <c r="E7" s="22" t="n"/>
      <c r="F7" s="22" t="n"/>
      <c r="G7" s="21" t="n"/>
    </row>
    <row r="8"/>
    <row r="9">
      <c r="A9" s="4" t="inlineStr">
        <is>
          <t>Assessment Entries</t>
        </is>
      </c>
    </row>
    <row r="10" ht="15" customHeight="1">
      <c r="A10" s="8" t="n"/>
    </row>
    <row r="11" ht="42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Staff Member (Name &amp; Role)</t>
        </is>
      </c>
      <c r="D11" s="10" t="inlineStr">
        <is>
          <t>Track / Competency Assessed</t>
        </is>
      </c>
      <c r="E11" s="10" t="inlineStr">
        <is>
          <t>Assessment Method</t>
        </is>
      </c>
      <c r="F11" s="10" t="inlineStr">
        <is>
          <t>Result vs Passing Bar</t>
        </is>
      </c>
      <c r="G11" s="10" t="inlineStr">
        <is>
          <t>Gap Observed</t>
        </is>
      </c>
      <c r="H11" s="10" t="inlineStr">
        <is>
          <t>Remediation &amp; Due Date</t>
        </is>
      </c>
      <c r="I11" s="10" t="inlineStr">
        <is>
          <t>Reassessed / Closed</t>
        </is>
      </c>
      <c r="J11" s="10" t="inlineStr">
        <is>
          <t>Next Assessment Due</t>
        </is>
      </c>
    </row>
    <row r="12" ht="50.5" customHeight="1">
      <c r="A12" s="11" t="inlineStr">
        <is>
          <t>0001</t>
        </is>
      </c>
      <c r="B12" s="23" t="n">
        <v>46195</v>
      </c>
      <c r="C12" s="11" t="inlineStr">
        <is>
          <t>P. Nair, Shared county IT</t>
        </is>
      </c>
      <c r="D12" s="11" t="inlineStr">
        <is>
          <t>Track A: Secure Configuration and Maintenance</t>
        </is>
      </c>
      <c r="E12" s="11" t="inlineStr">
        <is>
          <t>Baseline walkthrough on a dispatch workstation and the CAD server</t>
        </is>
      </c>
      <c r="F12" s="11" t="inlineStr">
        <is>
          <t>Demonstrated</t>
        </is>
      </c>
      <c r="G12" s="11" t="n"/>
      <c r="H12" s="11" t="n"/>
      <c r="I12" s="11" t="n"/>
      <c r="J12" s="23" t="n">
        <v>46378</v>
      </c>
    </row>
    <row r="13" ht="50.5" customHeight="1">
      <c r="A13" s="11" t="inlineStr">
        <is>
          <t>0002</t>
        </is>
      </c>
      <c r="B13" s="23" t="n">
        <v>46195</v>
      </c>
      <c r="C13" s="11" t="inlineStr">
        <is>
          <t>P. Nair, Shared county IT</t>
        </is>
      </c>
      <c r="D13" s="11" t="inlineStr">
        <is>
          <t>Track B: Privileged and Elevated Access</t>
        </is>
      </c>
      <c r="E13" s="11" t="inlineStr">
        <is>
          <t>Eight-scenario set on elevated-account conduct and reporting</t>
        </is>
      </c>
      <c r="F13" s="11" t="inlineStr">
        <is>
          <t>Demonstrated</t>
        </is>
      </c>
      <c r="G13" s="11" t="n"/>
      <c r="H13" s="11" t="n"/>
      <c r="I13" s="11" t="n"/>
      <c r="J13" s="23" t="n">
        <v>46378</v>
      </c>
    </row>
    <row r="14" ht="50.5" customHeight="1">
      <c r="A14" s="11" t="inlineStr">
        <is>
          <t>0003</t>
        </is>
      </c>
      <c r="B14" s="23" t="n">
        <v>46196</v>
      </c>
      <c r="C14" s="11" t="inlineStr">
        <is>
          <t>D. Mercer, Security Coordinator</t>
        </is>
      </c>
      <c r="D14" s="11" t="inlineStr">
        <is>
          <t>Track C: Monitoring and Log Review</t>
        </is>
      </c>
      <c r="E14" s="11" t="inlineStr">
        <is>
          <t>Triage of twelve sample alerts with an escalation decision recorded for each</t>
        </is>
      </c>
      <c r="F14" s="11" t="inlineStr">
        <is>
          <t>Demonstrated</t>
        </is>
      </c>
      <c r="G14" s="11" t="n"/>
      <c r="H14" s="11" t="n"/>
      <c r="I14" s="11" t="n"/>
      <c r="J14" s="23" t="n">
        <v>46379</v>
      </c>
    </row>
    <row r="15" ht="34.7" customHeight="1">
      <c r="A15" s="11" t="inlineStr">
        <is>
          <t>0004</t>
        </is>
      </c>
      <c r="B15" s="23" t="n">
        <v>46197</v>
      </c>
      <c r="C15" s="11" t="inlineStr">
        <is>
          <t>D. Mercer, Security Coordinator</t>
        </is>
      </c>
      <c r="D15" s="11" t="inlineStr">
        <is>
          <t>Track D: Incident Response and Evidence Handling</t>
        </is>
      </c>
      <c r="E15" s="11" t="inlineStr">
        <is>
          <t>Semi-annual tabletop, decision log kept</t>
        </is>
      </c>
      <c r="F15" s="11" t="inlineStr">
        <is>
          <t>Demonstrated</t>
        </is>
      </c>
      <c r="G15" s="11" t="n"/>
      <c r="H15" s="11" t="n"/>
      <c r="I15" s="11" t="n"/>
      <c r="J15" s="23" t="n">
        <v>46371</v>
      </c>
    </row>
    <row r="16" ht="82.2" customHeight="1">
      <c r="A16" s="11" t="inlineStr">
        <is>
          <t>0005</t>
        </is>
      </c>
      <c r="B16" s="23" t="n">
        <v>46197</v>
      </c>
      <c r="C16" s="11" t="inlineStr">
        <is>
          <t>R. Kim, Dispatcher</t>
        </is>
      </c>
      <c r="D16" s="11" t="inlineStr">
        <is>
          <t>Track E: Sensitive Data and Media Handling</t>
        </is>
      </c>
      <c r="E16" s="11" t="inlineStr">
        <is>
          <t>Classification and disclosure exercise on eight sample records</t>
        </is>
      </c>
      <c r="F16" s="11" t="inlineStr">
        <is>
          <t>Demonstrated with gap</t>
        </is>
      </c>
      <c r="G16" s="11" t="inlineStr">
        <is>
          <t>Classified every record correctly, but routed a public records request without the approval step</t>
        </is>
      </c>
      <c r="H16" s="11" t="inlineStr">
        <is>
          <t>Re-briefed on the Data Sharing &amp; Disclosure Approval Procedure, then reassessed on two live requests, by 2026-07-24</t>
        </is>
      </c>
      <c r="I16" s="23" t="n">
        <v>46221</v>
      </c>
      <c r="J16" s="23" t="n">
        <v>46562</v>
      </c>
    </row>
    <row r="17" ht="66.4" customHeight="1">
      <c r="A17" s="11" t="inlineStr">
        <is>
          <t>0006</t>
        </is>
      </c>
      <c r="B17" s="23" t="n">
        <v>46198</v>
      </c>
      <c r="C17" s="11" t="inlineStr">
        <is>
          <t>R. Kim, Dispatcher</t>
        </is>
      </c>
      <c r="D17" s="11" t="inlineStr">
        <is>
          <t>Track F: Physical and Visual Safeguards</t>
        </is>
      </c>
      <c r="E17" s="11" t="inlineStr">
        <is>
          <t>Observed walkthrough with an unannounced tailgate check</t>
        </is>
      </c>
      <c r="F17" s="11" t="inlineStr">
        <is>
          <t>Not demonstrated</t>
        </is>
      </c>
      <c r="G17" s="11" t="inlineStr">
        <is>
          <t>Held the door for a delivery driver into the equipment corridor during the check</t>
        </is>
      </c>
      <c r="H17" s="11" t="inlineStr">
        <is>
          <t>Re-brief plus a repeat walkthrough before resuming unescorted access, by 2026-07-15</t>
        </is>
      </c>
      <c r="I17" s="23" t="n">
        <v>46212</v>
      </c>
      <c r="J17" s="23" t="n">
        <v>46563</v>
      </c>
    </row>
    <row r="18" ht="66.4" customHeight="1">
      <c r="A18" s="11" t="inlineStr">
        <is>
          <t>0007</t>
        </is>
      </c>
      <c r="B18" s="23" t="n">
        <v>46202</v>
      </c>
      <c r="C18" s="11" t="inlineStr">
        <is>
          <t>A. Reyes, Director</t>
        </is>
      </c>
      <c r="D18" s="11" t="inlineStr">
        <is>
          <t>Track G: Program Governance and Oversight</t>
        </is>
      </c>
      <c r="E18" s="11" t="inlineStr">
        <is>
          <t>Review of one live risk register entry with a recorded accept / mitigate / transfer decision</t>
        </is>
      </c>
      <c r="F18" s="11" t="inlineStr">
        <is>
          <t>Demonstrated</t>
        </is>
      </c>
      <c r="G18" s="11" t="n"/>
      <c r="H18" s="11" t="n"/>
      <c r="I18" s="11" t="n"/>
      <c r="J18" s="23" t="n">
        <v>46567</v>
      </c>
    </row>
    <row r="19" ht="18.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18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18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/>
    <row r="23">
      <c r="A23" s="4" t="inlineStr">
        <is>
          <t>Summary (as of 2026-09-16)</t>
        </is>
      </c>
    </row>
    <row r="24">
      <c r="A24" s="3" t="inlineStr">
        <is>
          <t>Assessments recorded</t>
        </is>
      </c>
      <c r="C24" s="20">
        <f>COUNTA(A12:A21)</f>
      </c>
    </row>
    <row r="25">
      <c r="A25" s="3" t="inlineStr">
        <is>
          <t>Not demonstrated</t>
        </is>
      </c>
      <c r="C25" s="20">
        <f>COUNTIF(F12:F21,"Not demonstrated")</f>
      </c>
    </row>
    <row r="26" ht="34.7" customHeight="1">
      <c r="A26" s="3" t="inlineStr">
        <is>
          <t>Open remediation (gap not yet closed)</t>
        </is>
      </c>
      <c r="C26" s="20">
        <f>COUNTIFS(H12:H21,"&lt;&gt;",I12:I21,"")</f>
      </c>
    </row>
    <row r="27" ht="34.7" customHeight="1">
      <c r="A27" s="3" t="inlineStr">
        <is>
          <t>Overdue for reassessment</t>
        </is>
      </c>
      <c r="C27" s="20">
        <f>COUNTIF(J12:J21,"&lt;"&amp;DATE(2026,9,16))</f>
      </c>
    </row>
    <row r="28"/>
    <row r="29">
      <c r="A29" s="4" t="inlineStr">
        <is>
          <t>Findings</t>
        </is>
      </c>
    </row>
    <row r="30" ht="15" customHeight="1">
      <c r="A30" s="8" t="n"/>
    </row>
    <row r="31" ht="50.5" customHeight="1">
      <c r="A31" s="3" t="inlineStr">
        <is>
          <t>Seven assessments were recorded across the four people who hold tracks. One result was Not demonstrated (Track F) and closed on reassessment on 2026-07-09 after a re-brief; one was Demonstrated with gap (Track E) and closed on 2026-07-18. Both are mirrored in the Risk / Finding Register as R-041 and R-042. No remediation is open and nothing is overdue at period end. From this period the technical tracks (A through D) move to a semi-annual assessment cycle, which is why their next-due dates fall in December.</t>
        </is>
      </c>
    </row>
    <row r="32"/>
    <row r="33">
      <c r="A33" s="4" t="inlineStr">
        <is>
          <t>Sign-off</t>
        </is>
      </c>
    </row>
    <row r="34">
      <c r="A34" s="10" t="inlineStr">
        <is>
          <t>Role</t>
        </is>
      </c>
      <c r="B34" s="21" t="n"/>
      <c r="C34" s="10" t="inlineStr">
        <is>
          <t>Name</t>
        </is>
      </c>
      <c r="D34" s="10" t="inlineStr">
        <is>
          <t>Signature</t>
        </is>
      </c>
      <c r="E34" s="10" t="inlineStr">
        <is>
          <t>Date</t>
        </is>
      </c>
    </row>
    <row r="35">
      <c r="A35" s="11" t="inlineStr">
        <is>
          <t>Security Coordinator</t>
        </is>
      </c>
      <c r="B35" s="21" t="n"/>
      <c r="C35" s="11" t="inlineStr">
        <is>
          <t>(on file)</t>
        </is>
      </c>
      <c r="D35" s="11" t="inlineStr">
        <is>
          <t>(on file)</t>
        </is>
      </c>
      <c r="E35" s="23" t="n">
        <v>46202</v>
      </c>
    </row>
    <row r="36">
      <c r="A36" s="11" t="inlineStr">
        <is>
          <t>Director</t>
        </is>
      </c>
      <c r="B36" s="21" t="n"/>
      <c r="C36" s="11" t="inlineStr">
        <is>
          <t>Anthony Reyes</t>
        </is>
      </c>
      <c r="D36" s="11" t="inlineStr">
        <is>
          <t>/s/ Anthony Reyes</t>
        </is>
      </c>
      <c r="E36" s="23" t="n">
        <v>46202</v>
      </c>
    </row>
    <row r="37"/>
    <row r="38">
      <c r="A38" s="4" t="inlineStr">
        <is>
          <t>Retention</t>
        </is>
      </c>
    </row>
    <row r="39" ht="15" customHeight="1">
      <c r="A39" s="8" t="n"/>
    </row>
    <row r="40" ht="18.5" customHeight="1">
      <c r="A40" s="3" t="inlineStr">
        <is>
          <t>Retention: current year plus the prior two years at minimum, so a competency trend is visible across review cycles and against credential renewal dates, stored and handled per the Document Handling Standard.</t>
        </is>
      </c>
    </row>
    <row r="41"/>
    <row r="42">
      <c r="A42" s="4" t="inlineStr">
        <is>
          <t>Source Authority</t>
        </is>
      </c>
    </row>
    <row r="43" ht="15" customHeight="1">
      <c r="A43" s="8" t="n"/>
    </row>
    <row r="44" ht="18.5" customHeight="1">
      <c r="A44" s="3" t="inlineStr">
        <is>
          <t>NENA-STA-040.2-2024: §5.1 (Cybersecurity Training); §5.1.2 (Technician Security Training)</t>
        </is>
      </c>
    </row>
    <row r="45" ht="18.5" customHeight="1">
      <c r="A45" s="3" t="inlineStr">
        <is>
          <t>NIST SP 800-53 Rev. 5: AT-3, AT-4, AT-6, PM-13, PM-14</t>
        </is>
      </c>
    </row>
    <row r="46" ht="18.5" customHeight="1">
      <c r="A46" s="3" t="inlineStr">
        <is>
          <t>Indiana statutes and administrative code: IC 36-8-16.7 (Statewide 911, allowable training uses); IC 36-8-16.8 (Public Safety Telecommunicator Training); 240 IAC 5 (IDACS)</t>
        </is>
      </c>
    </row>
    <row r="47" ht="18.5" customHeight="1">
      <c r="A47" s="3" t="inlineStr">
        <is>
          <t>CJIS Security Policy v5.9: §5.2 (Security Awareness Training) (CJIS-regulated data in scope, via IDACS)</t>
        </is>
      </c>
    </row>
    <row r="48"/>
    <row r="49">
      <c r="A49" s="4" t="inlineStr">
        <is>
          <t>Revision History</t>
        </is>
      </c>
    </row>
    <row r="50">
      <c r="A50" s="10" t="inlineStr">
        <is>
          <t>Version</t>
        </is>
      </c>
      <c r="B50" s="21" t="n"/>
      <c r="C50" s="10" t="inlineStr">
        <is>
          <t>Date</t>
        </is>
      </c>
      <c r="D50" s="10" t="inlineStr">
        <is>
          <t>Author</t>
        </is>
      </c>
      <c r="E50" s="10" t="inlineStr">
        <is>
          <t>Summary of Change</t>
        </is>
      </c>
      <c r="F50" s="22" t="n"/>
      <c r="G50" s="21" t="n"/>
    </row>
    <row r="51">
      <c r="A51" s="11" t="inlineStr">
        <is>
          <t>1.0</t>
        </is>
      </c>
      <c r="B51" s="21" t="n"/>
      <c r="C51" s="23" t="n">
        <v>46202</v>
      </c>
      <c r="D51" s="11" t="inlineStr">
        <is>
          <t>Security Coordinator</t>
        </is>
      </c>
      <c r="E51" s="11" t="inlineStr">
        <is>
          <t>Initial issue</t>
        </is>
      </c>
      <c r="F51" s="22" t="n"/>
      <c r="G51" s="21" t="n"/>
    </row>
    <row r="52"/>
    <row r="53" ht="132" customHeight="1">
      <c r="A53" s="8" t="n"/>
    </row>
  </sheetData>
  <mergeCells count="40">
    <mergeCell ref="A47:J47"/>
    <mergeCell ref="A23:J23"/>
    <mergeCell ref="A24:B24"/>
    <mergeCell ref="C6:G6"/>
    <mergeCell ref="A51:B51"/>
    <mergeCell ref="A53:J53"/>
    <mergeCell ref="C5:G5"/>
    <mergeCell ref="A29:J29"/>
    <mergeCell ref="A36:B36"/>
    <mergeCell ref="A43:J43"/>
    <mergeCell ref="A38:J38"/>
    <mergeCell ref="A33:J33"/>
    <mergeCell ref="A10:J10"/>
    <mergeCell ref="A6:B6"/>
    <mergeCell ref="A44:J44"/>
    <mergeCell ref="C4:G4"/>
    <mergeCell ref="A31:J31"/>
    <mergeCell ref="A7:B7"/>
    <mergeCell ref="A25:B25"/>
    <mergeCell ref="A40:J40"/>
    <mergeCell ref="A9:J9"/>
    <mergeCell ref="A30:J30"/>
    <mergeCell ref="A39:J39"/>
    <mergeCell ref="A27:B27"/>
    <mergeCell ref="A3:B3"/>
    <mergeCell ref="A34:B34"/>
    <mergeCell ref="A49:J49"/>
    <mergeCell ref="A50:B50"/>
    <mergeCell ref="A1:J1"/>
    <mergeCell ref="A26:B26"/>
    <mergeCell ref="A45:J45"/>
    <mergeCell ref="A5:B5"/>
    <mergeCell ref="E50:G50"/>
    <mergeCell ref="A35:B35"/>
    <mergeCell ref="A4:B4"/>
    <mergeCell ref="C7:G7"/>
    <mergeCell ref="A46:J46"/>
    <mergeCell ref="A42:J42"/>
    <mergeCell ref="E51:G51"/>
    <mergeCell ref="C3:G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3" customWidth="1" min="4" max="4"/>
    <col width="24" customWidth="1" min="5" max="5"/>
    <col width="18" customWidth="1" min="6" max="6"/>
    <col width="24" customWidth="1" min="7" max="7"/>
  </cols>
  <sheetData>
    <row r="1" ht="25.5" customHeight="1">
      <c r="A1" s="9" t="inlineStr">
        <is>
          <t>Credential &amp; Continuing Education Register</t>
        </is>
      </c>
    </row>
    <row r="2" ht="15" customHeight="1">
      <c r="A2" s="8" t="n"/>
    </row>
    <row r="3"/>
    <row r="4" ht="34.7" customHeight="1">
      <c r="A4" s="10" t="inlineStr">
        <is>
          <t>Staff Member (Name &amp; Role)</t>
        </is>
      </c>
      <c r="B4" s="10" t="inlineStr">
        <is>
          <t>Credential / Course</t>
        </is>
      </c>
      <c r="C4" s="10" t="inlineStr">
        <is>
          <t>Awarded</t>
        </is>
      </c>
      <c r="D4" s="10" t="inlineStr">
        <is>
          <t>Expires</t>
        </is>
      </c>
      <c r="E4" s="10" t="inlineStr">
        <is>
          <t>CE Credits Required / Earned</t>
        </is>
      </c>
      <c r="F4" s="10" t="inlineStr">
        <is>
          <t>Agency Sponsored (Y/N)</t>
        </is>
      </c>
      <c r="G4" s="10" t="inlineStr">
        <is>
          <t>Renewal Status</t>
        </is>
      </c>
    </row>
    <row r="5" ht="34.7" customHeight="1">
      <c r="A5" s="11" t="inlineStr">
        <is>
          <t>D. Mercer, Security Coordinator</t>
        </is>
      </c>
      <c r="B5" s="11" t="inlineStr">
        <is>
          <t>Analyst-level detection and response certification</t>
        </is>
      </c>
      <c r="C5" s="23" t="n">
        <v>45184</v>
      </c>
      <c r="D5" s="23" t="n">
        <v>46280</v>
      </c>
      <c r="E5" s="11" t="inlineStr">
        <is>
          <t>60 / 44</t>
        </is>
      </c>
      <c r="F5" s="11" t="inlineStr">
        <is>
          <t>Y</t>
        </is>
      </c>
      <c r="G5" s="11" t="inlineStr">
        <is>
          <t>In renewal</t>
        </is>
      </c>
    </row>
    <row r="6" ht="50.5" customHeight="1">
      <c r="A6" s="11" t="inlineStr">
        <is>
          <t>P. Nair, Shared county IT</t>
        </is>
      </c>
      <c r="B6" s="11" t="inlineStr">
        <is>
          <t>General technician-level security certification (held through the county)</t>
        </is>
      </c>
      <c r="C6" s="23" t="n">
        <v>45707</v>
      </c>
      <c r="D6" s="23" t="n">
        <v>46802</v>
      </c>
      <c r="E6" s="11" t="inlineStr">
        <is>
          <t>50 / 12</t>
        </is>
      </c>
      <c r="F6" s="11" t="inlineStr">
        <is>
          <t>N</t>
        </is>
      </c>
      <c r="G6" s="11" t="inlineStr">
        <is>
          <t>Current</t>
        </is>
      </c>
    </row>
    <row r="7" ht="18.5" customHeight="1">
      <c r="A7" s="11" t="n"/>
      <c r="B7" s="11" t="n"/>
      <c r="C7" s="11" t="n"/>
      <c r="D7" s="11" t="n"/>
      <c r="E7" s="11" t="n"/>
      <c r="F7" s="11" t="n"/>
      <c r="G7" s="11" t="n"/>
    </row>
    <row r="8" ht="18.5" customHeight="1">
      <c r="A8" s="11" t="n"/>
      <c r="B8" s="11" t="n"/>
      <c r="C8" s="11" t="n"/>
      <c r="D8" s="11" t="n"/>
      <c r="E8" s="11" t="n"/>
      <c r="F8" s="11" t="n"/>
      <c r="G8" s="11" t="n"/>
    </row>
    <row r="9" ht="18.5" customHeight="1">
      <c r="A9" s="11" t="n"/>
      <c r="B9" s="11" t="n"/>
      <c r="C9" s="11" t="n"/>
      <c r="D9" s="11" t="n"/>
      <c r="E9" s="11" t="n"/>
      <c r="F9" s="11" t="n"/>
      <c r="G9" s="11" t="n"/>
    </row>
    <row r="10" ht="18.5" customHeight="1">
      <c r="A10" s="11" t="n"/>
      <c r="B10" s="11" t="n"/>
      <c r="C10" s="11" t="n"/>
      <c r="D10" s="11" t="n"/>
      <c r="E10" s="11" t="n"/>
      <c r="F10" s="11" t="n"/>
      <c r="G10" s="11" t="n"/>
    </row>
    <row r="11" ht="18.5" customHeight="1">
      <c r="A11" s="11" t="n"/>
      <c r="B11" s="11" t="n"/>
      <c r="C11" s="11" t="n"/>
      <c r="D11" s="11" t="n"/>
      <c r="E11" s="11" t="n"/>
      <c r="F11" s="11" t="n"/>
      <c r="G11" s="11" t="n"/>
    </row>
    <row r="12" ht="18.5" customHeight="1">
      <c r="A12" s="11" t="n"/>
      <c r="B12" s="11" t="n"/>
      <c r="C12" s="11" t="n"/>
      <c r="D12" s="11" t="n"/>
      <c r="E12" s="11" t="n"/>
      <c r="F12" s="11" t="n"/>
      <c r="G12" s="11" t="n"/>
    </row>
    <row r="13" ht="18.5" customHeight="1">
      <c r="A13" s="11" t="n"/>
      <c r="B13" s="11" t="n"/>
      <c r="C13" s="11" t="n"/>
      <c r="D13" s="11" t="n"/>
      <c r="E13" s="11" t="n"/>
      <c r="F13" s="11" t="n"/>
      <c r="G13" s="11" t="n"/>
    </row>
    <row r="14" ht="18.5" customHeight="1">
      <c r="A14" s="11" t="n"/>
      <c r="B14" s="11" t="n"/>
      <c r="C14" s="11" t="n"/>
      <c r="D14" s="11" t="n"/>
      <c r="E14" s="11" t="n"/>
      <c r="F14" s="11" t="n"/>
      <c r="G14" s="11" t="n"/>
    </row>
    <row r="15"/>
    <row r="16">
      <c r="A16" s="4" t="inlineStr">
        <is>
          <t>Summary (as of 2026-09-16)</t>
        </is>
      </c>
    </row>
    <row r="17">
      <c r="A17" s="3" t="inlineStr">
        <is>
          <t>Credentials tracked</t>
        </is>
      </c>
      <c r="C17" s="20">
        <f>COUNTA(B5:B14)</f>
      </c>
    </row>
    <row r="18">
      <c r="A18" s="3" t="inlineStr">
        <is>
          <t>Expiring within 90 days</t>
        </is>
      </c>
      <c r="C18" s="20">
        <f>COUNTIFS(D5:D14,"&gt;="&amp;DATE(2026,9,16),D5:D14,"&lt;="&amp;DATE(2026,9,16)+90)</f>
      </c>
    </row>
    <row r="19">
      <c r="A19" s="3" t="inlineStr">
        <is>
          <t>Lapsed</t>
        </is>
      </c>
      <c r="C19" s="20">
        <f>COUNTIF(D5:D14,"&lt;"&amp;DATE(2026,9,16))</f>
      </c>
    </row>
  </sheetData>
  <mergeCells count="6">
    <mergeCell ref="A1:G1"/>
    <mergeCell ref="A19:B19"/>
    <mergeCell ref="A2:G2"/>
    <mergeCell ref="A16:G16"/>
    <mergeCell ref="A17:B17"/>
    <mergeCell ref="A18:B18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2026-08-05T15:59:51Z</dcterms:modified>
  <cp:lastModifiedBy/>
  <cp:revision>0</cp:revision>
  <dc:title xmlns:dc="http://purl.org/dc/elements/1.1/">Competency Assessment Records - EXAMPLE - M</dc:title>
</cp:coreProperties>
</file>
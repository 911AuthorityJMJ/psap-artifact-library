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<sst xmlns="http://schemas.openxmlformats.org/spreadsheetml/2006/main" count="161" uniqueCount="101">
  <si>
    <t xml:space="preserve">Tri-River Regional 911 Center   ·   Worked Example</t>
  </si>
  <si>
    <t xml:space="preserve">Data Inventory / Data Map</t>
  </si>
  <si>
    <t xml:space="preserve">Authority</t>
  </si>
  <si>
    <t xml:space="preserve">Adopted by Tri-River Regional 911 Center under the authority of Dr. Lisa Park, Executive Director.</t>
  </si>
  <si>
    <t xml:space="preserve">Owner</t>
  </si>
  <si>
    <t xml:space="preserve">Information Security Analyst</t>
  </si>
  <si>
    <t xml:space="preserve">Version / Dates</t>
  </si>
  <si>
    <t xml:space="preserve">Version 1.0      Effective Date 2026-01-20      Next Review 2027-01-20</t>
  </si>
  <si>
    <t xml:space="preserve">Classification</t>
  </si>
  <si>
    <t xml:space="preserve">Restricted / CJIS</t>
  </si>
  <si>
    <t xml:space="preserve">Reconciliation cadence</t>
  </si>
  <si>
    <t xml:space="preserve">Reconciled quarterly by the Information Security Analyst;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</si>
  <si>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</si>
  <si>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</si>
  <si>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</si>
  <si>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</si>
  <si>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</si>
  <si>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</si>
  <si>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</si>
  <si>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</si>
  <si>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</si>
  <si>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</si>
  <si>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</si>
  <si>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</si>
  <si>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 / LIS)</t>
  </si>
  <si>
    <t xml:space="preserve">NGCS / ESInet</t>
  </si>
  <si>
    <t xml:space="preserve">Restricted</t>
  </si>
  <si>
    <t xml:space="preserve">TLS 1.2+; AES-256 at rest</t>
  </si>
  <si>
    <t xml:space="preserve">RBAC; need-to-know</t>
  </si>
  <si>
    <t xml:space="preserve">Data Retention Schedule</t>
  </si>
  <si>
    <t xml:space="preserve">Active</t>
  </si>
  <si>
    <t xml:space="preserve">2026-04-02</t>
  </si>
  <si>
    <t xml:space="preserve">2026-07-02</t>
  </si>
  <si>
    <t xml:space="preserve">DAT-002</t>
  </si>
  <si>
    <t xml:space="preserve">Criminal justice information (CHRI)</t>
  </si>
  <si>
    <t xml:space="preserve">IDACS / RMS interface</t>
  </si>
  <si>
    <t xml:space="preserve">Confidential / CJIS</t>
  </si>
  <si>
    <t xml:space="preserve">FIPS 140-validated encryption</t>
  </si>
  <si>
    <t xml:space="preserve">IDACS-authorized users only</t>
  </si>
  <si>
    <t xml:space="preserve">Retention per CJIS / IDACS</t>
  </si>
  <si>
    <t xml:space="preserve">DAT-003</t>
  </si>
  <si>
    <t xml:space="preserve">Recorded 911 call audio</t>
  </si>
  <si>
    <t xml:space="preserve">Logging recorder (redundant)</t>
  </si>
  <si>
    <t xml:space="preserve">AES-256 at rest</t>
  </si>
  <si>
    <t xml:space="preserve">Supervisor + records roles</t>
  </si>
  <si>
    <t xml:space="preserve">DAT-004</t>
  </si>
  <si>
    <t xml:space="preserve">CAD incident records</t>
  </si>
  <si>
    <t xml:space="preserve">CAD (active-active)</t>
  </si>
  <si>
    <t xml:space="preserve">RBAC</t>
  </si>
  <si>
    <t xml:space="preserve">DAT-005</t>
  </si>
  <si>
    <t xml:space="preserve">GIS / mapping data</t>
  </si>
  <si>
    <t xml:space="preserve">GIS platform</t>
  </si>
  <si>
    <t xml:space="preserve">IT Director</t>
  </si>
  <si>
    <t xml:space="preserve">TLS; AES-256 at rest</t>
  </si>
  <si>
    <t xml:space="preserve">DAT-006</t>
  </si>
  <si>
    <t xml:space="preserve">Text / picture / video to 911 media</t>
  </si>
  <si>
    <t xml:space="preserve">NGCS multimedia</t>
  </si>
  <si>
    <t xml:space="preserve">Dispatch + supervisor roles</t>
  </si>
  <si>
    <t xml:space="preserve">DAT-007</t>
  </si>
  <si>
    <t xml:space="preserve">ALI / ANI and call-detail records</t>
  </si>
  <si>
    <t xml:space="preserve">NGCS / logging</t>
  </si>
  <si>
    <t xml:space="preserve">DAT-008</t>
  </si>
  <si>
    <t xml:space="preserve">Video feeds (facility / integration)</t>
  </si>
  <si>
    <t xml:space="preserve">Video management system</t>
  </si>
  <si>
    <t xml:space="preserve">Security + supervisor roles</t>
  </si>
  <si>
    <t xml:space="preserve">DAT-009</t>
  </si>
  <si>
    <t xml:space="preserve">Personnel &amp; screening records</t>
  </si>
  <si>
    <t xml:space="preserve">HR system</t>
  </si>
  <si>
    <t xml:space="preserve">Confidential</t>
  </si>
  <si>
    <t xml:space="preserve">HR Manager</t>
  </si>
  <si>
    <t xml:space="preserve">HR + executive director only</t>
  </si>
  <si>
    <t xml:space="preserve">Per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</si>
  <si>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</si>
  <si>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</si>
  <si>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</si>
  <si>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</si>
  <si>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</si>
  <si>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</si>
  <si>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</si>
  <si>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</si>
  <si>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</si>
  <si>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</si>
  <si>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</si>
  <si>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</si>
  <si>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 Data Breach Notification; 240 IAC 5 —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</si>
  <si>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</si>
  <si>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</si>
  <si>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</si>
  <si>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</si>
  <si>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</si>
  <si>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</si>
  <si>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Executive Director</t>
  </si>
  <si>
    <t xml:space="preserve">Dr. Lisa Park</t>
  </si>
  <si>
    <t xml:space="preserve">2026-01-20</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</si>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</sst>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552240</xdr:colOff>
      <xdr:row>0</xdr:row>
      <xdr:rowOff>552240</xdr:rowOff>
    </xdr:to>
    <xdr:pic>
      <xdr:nvPicPr>
        <xdr:cNvPr id="1" name="Image 1" descr="Picture"/>
        <xdr:cNvPicPr/>
      </xdr:nvPicPr>
      <xdr:blipFill>
        <a:blip r:embed="rId1"/>
        <a:stretch/>
      </xdr:blipFill>
      <xdr:spPr>
        <a:xfrm>
          <a:off x="0" y="0"/>
          <a:ext cx="552240" cy="552240"/>
        </a:xfrm>
        <a:prstGeom prst="rect">
          <a:avLst/>
        </a:prstGeom>
        <a:noFill/>
        <a:ln w="0">
          <a:noFill/>
        </a:ln>
      </xdr:spPr>
    </xdr:pic>
    <xdr:clientData/>
  </xdr:two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114120</xdr:rowOff>
    </xdr:to>
    <xdr:pic>
      <xdr:nvPicPr>
        <xdr:cNvPr id="3" name="Image 3" descr="Picture"/>
        <xdr:cNvPicPr/>
      </xdr:nvPicPr>
      <xdr:blipFill>
        <a:blip r:embed="rId3"/>
        <a:stretch/>
      </xdr:blipFill>
      <xdr:spPr>
        <a:xfrm>
          <a:off x="704880" y="743904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27.75" hidden="false" customHeight="true" outlineLevel="0" collapsed="false">
      <c r="A16" s="7" t="s">
        <v>49</v>
      </c>
      <c r="B16" s="7" t="s">
        <v>50</v>
      </c>
      <c r="C16" s="7" t="s">
        <v>51</v>
      </c>
      <c r="D16" s="7" t="s">
        <v>26</v>
      </c>
      <c r="E16" s="7" t="s">
        <v>52</v>
      </c>
      <c r="F16" s="7" t="s">
        <v>53</v>
      </c>
      <c r="G16" s="7" t="s">
        <v>48</v>
      </c>
      <c r="H16" s="7" t="s">
        <v>29</v>
      </c>
      <c r="I16" s="7" t="s">
        <v>30</v>
      </c>
      <c r="J16" s="7" t="s">
        <v>31</v>
      </c>
      <c r="K16" s="7" t="s">
        <v>32</v>
      </c>
    </row>
    <row r="17" customFormat="false" ht="36" hidden="false" customHeight="true" outlineLevel="0" collapsed="false">
      <c r="A17" s="7" t="s">
        <v>54</v>
      </c>
      <c r="B17" s="7" t="s">
        <v>55</v>
      </c>
      <c r="C17" s="7" t="s">
        <v>56</v>
      </c>
      <c r="D17" s="7" t="s">
        <v>26</v>
      </c>
      <c r="E17" s="7" t="s">
        <v>5</v>
      </c>
      <c r="F17" s="7" t="s">
        <v>53</v>
      </c>
      <c r="G17" s="7" t="s">
        <v>57</v>
      </c>
      <c r="H17" s="7" t="s">
        <v>29</v>
      </c>
      <c r="I17" s="7" t="s">
        <v>30</v>
      </c>
      <c r="J17" s="7" t="s">
        <v>31</v>
      </c>
      <c r="K17" s="7" t="s">
        <v>32</v>
      </c>
    </row>
    <row r="18" customFormat="false" ht="36" hidden="false" customHeight="true" outlineLevel="0" collapsed="false">
      <c r="A18" s="7" t="s">
        <v>58</v>
      </c>
      <c r="B18" s="7" t="s">
        <v>59</v>
      </c>
      <c r="C18" s="7" t="s">
        <v>60</v>
      </c>
      <c r="D18" s="7" t="s">
        <v>26</v>
      </c>
      <c r="E18" s="7" t="s">
        <v>5</v>
      </c>
      <c r="F18" s="7" t="s">
        <v>43</v>
      </c>
      <c r="G18" s="7" t="s">
        <v>48</v>
      </c>
      <c r="H18" s="7" t="s">
        <v>29</v>
      </c>
      <c r="I18" s="7" t="s">
        <v>30</v>
      </c>
      <c r="J18" s="7" t="s">
        <v>31</v>
      </c>
      <c r="K18" s="7" t="s">
        <v>32</v>
      </c>
    </row>
    <row r="19" customFormat="false" ht="36" hidden="false" customHeight="true" outlineLevel="0" collapsed="false">
      <c r="A19" s="7" t="s">
        <v>61</v>
      </c>
      <c r="B19" s="7" t="s">
        <v>62</v>
      </c>
      <c r="C19" s="7" t="s">
        <v>63</v>
      </c>
      <c r="D19" s="7" t="s">
        <v>26</v>
      </c>
      <c r="E19" s="7" t="s">
        <v>52</v>
      </c>
      <c r="F19" s="7" t="s">
        <v>43</v>
      </c>
      <c r="G19" s="7" t="s">
        <v>64</v>
      </c>
      <c r="H19" s="7" t="s">
        <v>29</v>
      </c>
      <c r="I19" s="7" t="s">
        <v>30</v>
      </c>
      <c r="J19" s="7" t="s">
        <v>31</v>
      </c>
      <c r="K19" s="7" t="s">
        <v>32</v>
      </c>
    </row>
    <row r="20" customFormat="false" ht="36" hidden="false" customHeight="true" outlineLevel="0" collapsed="false">
      <c r="A20" s="7" t="s">
        <v>65</v>
      </c>
      <c r="B20" s="7" t="s">
        <v>66</v>
      </c>
      <c r="C20" s="7" t="s">
        <v>67</v>
      </c>
      <c r="D20" s="7" t="s">
        <v>68</v>
      </c>
      <c r="E20" s="7" t="s">
        <v>69</v>
      </c>
      <c r="F20" s="7" t="s">
        <v>43</v>
      </c>
      <c r="G20" s="7" t="s">
        <v>70</v>
      </c>
      <c r="H20" s="7" t="s">
        <v>71</v>
      </c>
      <c r="I20" s="7" t="s">
        <v>30</v>
      </c>
      <c r="J20" s="7" t="s">
        <v>31</v>
      </c>
      <c r="K20" s="7" t="s">
        <v>32</v>
      </c>
    </row>
    <row r="22" customFormat="false" ht="15" hidden="false" customHeight="false" outlineLevel="0" collapsed="false">
      <c r="A22" s="5" t="s">
        <v>72</v>
      </c>
      <c r="B22" s="5"/>
      <c r="C22" s="5"/>
      <c r="D22" s="5"/>
      <c r="E22" s="5"/>
      <c r="F22" s="5"/>
      <c r="G22" s="5"/>
      <c r="H22" s="5"/>
      <c r="I22" s="5"/>
      <c r="J22" s="5"/>
      <c r="K22" s="5"/>
    </row>
    <row r="23" customFormat="false" ht="15" hidden="false" customHeight="false" outlineLevel="0" collapsed="false">
      <c r="A23" s="8" t="s">
        <v>73</v>
      </c>
      <c r="C23" s="8" t="n">
        <f aca="false">COUNTA(A12:A20)</f>
        <v>9</v>
      </c>
    </row>
    <row r="24" customFormat="false" ht="15" hidden="false" customHeight="false" outlineLevel="0" collapsed="false">
      <c r="A24" s="8" t="s">
        <v>74</v>
      </c>
      <c r="C24" s="8" t="n">
        <f aca="false">COUNTIF(D12:D20,"*Internal*")</f>
        <v>0</v>
      </c>
    </row>
    <row r="25" customFormat="false" ht="15" hidden="false" customHeight="false" outlineLevel="0" collapsed="false">
      <c r="A25" s="8" t="s">
        <v>26</v>
      </c>
      <c r="C25" s="8" t="n">
        <f aca="false">COUNTIF(D12:D20,"*Restricted*")</f>
        <v>7</v>
      </c>
    </row>
    <row r="26" customFormat="false" ht="15" hidden="false" customHeight="false" outlineLevel="0" collapsed="false">
      <c r="A26" s="8" t="s">
        <v>68</v>
      </c>
      <c r="C26" s="8" t="n">
        <f aca="false">COUNTIF(D12:D20,"*Confidential*")</f>
        <v>2</v>
      </c>
    </row>
    <row r="27" customFormat="false" ht="15" hidden="false" customHeight="false" outlineLevel="0" collapsed="false">
      <c r="A27" s="8" t="s">
        <v>75</v>
      </c>
      <c r="C27" s="8" t="n">
        <f aca="false">COUNTIF(D12:D20,"*CJIS*")</f>
        <v>1</v>
      </c>
    </row>
    <row r="28" customFormat="false" ht="15" hidden="false" customHeight="false" outlineLevel="0" collapsed="false">
      <c r="A28" s="8" t="s">
        <v>76</v>
      </c>
      <c r="C28" s="8" t="n">
        <f aca="true">COUNTIF(K12:K20,"&lt;"&amp;TODAY())</f>
        <v>0</v>
      </c>
    </row>
    <row r="30" customFormat="false" ht="15" hidden="false" customHeight="false" outlineLevel="0" collapsed="false">
      <c r="A30" s="5" t="s">
        <v>77</v>
      </c>
      <c r="B30" s="5"/>
      <c r="C30" s="5"/>
      <c r="D30" s="5"/>
      <c r="E30" s="5"/>
      <c r="F30" s="5"/>
      <c r="G30" s="5"/>
      <c r="H30" s="5"/>
      <c r="I30" s="5"/>
      <c r="J30" s="5"/>
      <c r="K30" s="5"/>
    </row>
    <row r="31" customFormat="false" ht="60" hidden="false" customHeight="true" outlineLevel="0" collapsed="false">
      <c r="A31" s="9" t="s">
        <v>78</v>
      </c>
      <c r="B31" s="9"/>
      <c r="C31" s="9"/>
      <c r="D31" s="9"/>
      <c r="E31" s="9"/>
      <c r="F31" s="9"/>
      <c r="G31" s="9"/>
      <c r="H31" s="9"/>
      <c r="I31" s="9"/>
      <c r="J31" s="9"/>
      <c r="K31" s="9"/>
    </row>
    <row r="33" customFormat="false" ht="15" hidden="false" customHeight="false" outlineLevel="0" collapsed="false">
      <c r="A33" s="5" t="s">
        <v>79</v>
      </c>
      <c r="B33" s="5"/>
      <c r="C33" s="5"/>
      <c r="D33" s="5"/>
      <c r="E33" s="5"/>
      <c r="F33" s="5"/>
      <c r="G33" s="5"/>
      <c r="H33" s="5"/>
      <c r="I33" s="5"/>
      <c r="J33" s="5"/>
      <c r="K33" s="5"/>
    </row>
    <row r="34" customFormat="false" ht="30" hidden="false" customHeight="true" outlineLevel="0" collapsed="false">
      <c r="A34" s="9" t="s">
        <v>80</v>
      </c>
      <c r="B34" s="9"/>
      <c r="C34" s="9"/>
      <c r="D34" s="9"/>
      <c r="E34" s="9"/>
      <c r="F34" s="9"/>
      <c r="G34" s="9"/>
      <c r="H34" s="9"/>
      <c r="I34" s="9"/>
      <c r="J34" s="9"/>
      <c r="K34" s="9"/>
    </row>
    <row r="36" customFormat="false" ht="15" hidden="false" customHeight="false" outlineLevel="0" collapsed="false">
      <c r="A36" s="5" t="s">
        <v>81</v>
      </c>
      <c r="B36" s="5"/>
      <c r="C36" s="5"/>
      <c r="D36" s="5"/>
      <c r="E36" s="5"/>
      <c r="F36" s="5"/>
      <c r="G36" s="5"/>
      <c r="H36" s="5"/>
      <c r="I36" s="5"/>
      <c r="J36" s="5"/>
      <c r="K36" s="5"/>
    </row>
    <row r="37" customFormat="false" ht="15" hidden="false" customHeight="false" outlineLevel="0" collapsed="false">
      <c r="A37" s="10" t="s">
        <v>82</v>
      </c>
      <c r="B37" s="10"/>
      <c r="C37" s="10"/>
      <c r="D37" s="10"/>
      <c r="E37" s="10"/>
      <c r="F37" s="10"/>
      <c r="G37" s="10"/>
      <c r="H37" s="10"/>
      <c r="I37" s="10"/>
      <c r="J37" s="10"/>
      <c r="K37" s="10"/>
    </row>
    <row r="38" customFormat="false" ht="15" hidden="false" customHeight="false" outlineLevel="0" collapsed="false">
      <c r="A38" s="10" t="s">
        <v>83</v>
      </c>
      <c r="B38" s="10"/>
      <c r="C38" s="10"/>
      <c r="D38" s="10"/>
      <c r="E38" s="10"/>
      <c r="F38" s="10"/>
      <c r="G38" s="10"/>
      <c r="H38" s="10"/>
      <c r="I38" s="10"/>
      <c r="J38" s="10"/>
      <c r="K38" s="10"/>
    </row>
    <row r="39" customFormat="false" ht="15" hidden="false" customHeight="false" outlineLevel="0" collapsed="false">
      <c r="A39" s="10" t="s">
        <v>84</v>
      </c>
      <c r="B39" s="10"/>
      <c r="C39" s="10"/>
      <c r="D39" s="10"/>
      <c r="E39" s="10"/>
      <c r="F39" s="10"/>
      <c r="G39" s="10"/>
      <c r="H39" s="10"/>
      <c r="I39" s="10"/>
      <c r="J39" s="10"/>
      <c r="K39" s="10"/>
    </row>
    <row r="40" customFormat="false" ht="15" hidden="false" customHeight="false" outlineLevel="0" collapsed="false">
      <c r="A40" s="10" t="s">
        <v>85</v>
      </c>
      <c r="B40" s="10"/>
      <c r="C40" s="10"/>
      <c r="D40" s="10"/>
      <c r="E40" s="10"/>
      <c r="F40" s="10"/>
      <c r="G40" s="10"/>
      <c r="H40" s="10"/>
      <c r="I40" s="10"/>
      <c r="J40" s="10"/>
      <c r="K40" s="10"/>
    </row>
    <row r="42" customFormat="false" ht="15" hidden="false" customHeight="false" outlineLevel="0" collapsed="false">
      <c r="A42" s="5" t="s">
        <v>86</v>
      </c>
      <c r="B42" s="5"/>
      <c r="C42" s="5"/>
      <c r="D42" s="5"/>
      <c r="E42" s="5"/>
      <c r="F42" s="5"/>
      <c r="G42" s="5"/>
      <c r="H42" s="5"/>
      <c r="I42" s="5"/>
      <c r="J42" s="5"/>
      <c r="K42" s="5"/>
    </row>
    <row r="43" customFormat="false" ht="15" hidden="false" customHeight="false" outlineLevel="0" collapsed="false">
      <c r="A43" s="11" t="s">
        <v>87</v>
      </c>
      <c r="B43" s="11" t="s">
        <v>88</v>
      </c>
      <c r="C43" s="11" t="s">
        <v>89</v>
      </c>
      <c r="D43" s="11" t="s">
        <v>90</v>
      </c>
    </row>
    <row r="44" customFormat="false" ht="25.5" hidden="false" customHeight="true" outlineLevel="0" collapsed="false">
      <c r="A44" s="12" t="s">
        <v>91</v>
      </c>
      <c r="B44" s="12" t="s">
        <v>92</v>
      </c>
      <c r="C44" s="12" t="s">
        <v>92</v>
      </c>
      <c r="D44" s="12" t="s">
        <v>93</v>
      </c>
    </row>
    <row r="45" customFormat="false" ht="25.5" hidden="false" customHeight="true" outlineLevel="0" collapsed="false">
      <c r="A45" s="12" t="s">
        <v>5</v>
      </c>
      <c r="B45" s="12" t="s">
        <v>94</v>
      </c>
      <c r="C45" s="12" t="s">
        <v>94</v>
      </c>
      <c r="D45" s="12" t="s">
        <v>93</v>
      </c>
    </row>
    <row r="47" customFormat="false" ht="15" hidden="false" customHeight="false" outlineLevel="0" collapsed="false">
      <c r="A47" s="5" t="s">
        <v>95</v>
      </c>
      <c r="B47" s="5"/>
      <c r="C47" s="5"/>
      <c r="D47" s="5"/>
      <c r="E47" s="5"/>
      <c r="F47" s="5"/>
      <c r="G47" s="5"/>
      <c r="H47" s="5"/>
      <c r="I47" s="5"/>
      <c r="J47" s="5"/>
      <c r="K47" s="5"/>
    </row>
    <row r="48" customFormat="false" ht="15" hidden="false" customHeight="false" outlineLevel="0" collapsed="false">
      <c r="A48" s="11" t="s">
        <v>96</v>
      </c>
      <c r="B48" s="11" t="s">
        <v>90</v>
      </c>
      <c r="C48" s="11" t="s">
        <v>97</v>
      </c>
      <c r="D48" s="11" t="s">
        <v>98</v>
      </c>
    </row>
    <row r="49" customFormat="false" ht="15" hidden="false" customHeight="false" outlineLevel="0" collapsed="false">
      <c r="A49" s="12" t="s">
        <v>99</v>
      </c>
      <c r="B49" s="12" t="s">
        <v>93</v>
      </c>
      <c r="C49" s="12" t="s">
        <v>5</v>
      </c>
      <c r="D49" s="12" t="s">
        <v>100</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22:K22"/>
    <mergeCell ref="A30:K30"/>
    <mergeCell ref="A31:K31"/>
    <mergeCell ref="A33:K33"/>
    <mergeCell ref="A34:K34"/>
    <mergeCell ref="A36:K36"/>
    <mergeCell ref="A37:K37"/>
    <mergeCell ref="A38:K38"/>
    <mergeCell ref="A39:K39"/>
    <mergeCell ref="A40:K40"/>
    <mergeCell ref="A42:K42"/>
    <mergeCell ref="A47:K4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
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9920" windowHeight="20380" tabRatio="5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2" customWidth="1" min="1" max="1"/>
    <col width="24" customWidth="1" min="2" max="2"/>
    <col width="40" customWidth="1" min="3" max="3"/>
    <col width="22" customWidth="1" min="4" max="4"/>
    <col width="16" customWidth="1" min="5" max="5"/>
    <col width="16" customWidth="1" min="6" max="7"/>
    <col width="18" customWidth="1" min="7" max="7"/>
  </cols>
  <sheetData>
    <row r="1" ht="25.5" customHeight="1">
      <c r="A1" s="10" t="inlineStr">
        <is>
          <t>Privileged &amp; Service Account Inventory</t>
        </is>
      </c>
    </row>
    <row r="2" ht="15" customHeight="1">
      <c r="A2" s="9" t="n"/>
    </row>
    <row r="3" ht="15" customHeight="1">
      <c r="A3" s="8" t="inlineStr">
        <is>
          <t>Authority</t>
        </is>
      </c>
      <c r="B3" s="22" t="n"/>
      <c r="C3" s="7" t="inlineStr">
        <is>
          <t>Adopted by Tri-River Regional 911 Center under the authority of the Executive Director.</t>
        </is>
      </c>
      <c r="D3" s="23" t="n"/>
      <c r="E3" s="23" t="n"/>
      <c r="F3" s="23" t="n"/>
      <c r="G3" s="22" t="n"/>
    </row>
    <row r="4" ht="15" customHeight="1">
      <c r="A4" s="8" t="inlineStr">
        <is>
          <t>Owner</t>
        </is>
      </c>
      <c r="B4" s="22" t="n"/>
      <c r="C4" s="7" t="inlineStr">
        <is>
          <t>Information Security Analyst</t>
        </is>
      </c>
      <c r="D4" s="23" t="n"/>
      <c r="E4" s="23" t="n"/>
      <c r="F4" s="23" t="n"/>
      <c r="G4" s="22" t="n"/>
    </row>
    <row r="5" ht="15" customHeight="1">
      <c r="A5" s="8" t="inlineStr">
        <is>
          <t>Version / Dates</t>
        </is>
      </c>
      <c r="B5" s="22" t="n"/>
      <c r="C5" s="7" t="inlineStr">
        <is>
          <t>Version 1.0      Effective Date 2026-01-20      Next Review 2027-01-20</t>
        </is>
      </c>
      <c r="D5" s="23" t="n"/>
      <c r="E5" s="23" t="n"/>
      <c r="F5" s="23" t="n"/>
      <c r="G5" s="22" t="n"/>
    </row>
    <row r="6" ht="43.5" customHeight="1">
      <c r="A6" s="8" t="inlineStr">
        <is>
          <t>Classification</t>
        </is>
      </c>
      <c r="B6" s="22" t="n"/>
      <c r="C6" s="25" t="inlineStr">
        <is>
          <t>Confidential / CJIS</t>
        </is>
      </c>
      <c r="D6" s="23" t="n"/>
      <c r="E6" s="23" t="n"/>
      <c r="F6" s="23" t="n"/>
      <c r="G6" s="22" t="n"/>
    </row>
    <row r="7" ht="34.7" customHeight="1">
      <c r="A7" s="8" t="inlineStr">
        <is>
          <t>Review cadence</t>
        </is>
      </c>
      <c r="B7" s="22" t="n"/>
      <c r="C7" s="7" t="inlineStr">
        <is>
          <t>Reviewed at least quarterly by the Information Security Analyst; entries kept current as accounts are added, changed, or decommissioned.</t>
        </is>
      </c>
      <c r="D7" s="23" t="n"/>
      <c r="E7" s="23" t="n"/>
      <c r="F7" s="23" t="n"/>
      <c r="G7" s="22" t="n"/>
    </row>
    <row r="8"/>
    <row r="9" ht="15" customHeight="1">
      <c r="A9" s="5" t="inlineStr">
        <is>
          <t>Register Entries</t>
        </is>
      </c>
    </row>
    <row r="10" ht="27.75" customHeight="1">
      <c r="A10" s="9" t="n"/>
    </row>
    <row r="11" ht="34.7" customHeight="1">
      <c r="A11" s="11" t="inlineStr">
        <is>
          <t>Account ID</t>
        </is>
      </c>
      <c r="B11" s="11" t="inlineStr">
        <is>
          <t>Account name</t>
        </is>
      </c>
      <c r="C11" s="11" t="inlineStr">
        <is>
          <t>Account type / systems in scope</t>
        </is>
      </c>
      <c r="D11" s="11" t="inlineStr">
        <is>
          <t>Custodian</t>
        </is>
      </c>
      <c r="E11" s="11" t="inlineStr">
        <is>
          <t>Status</t>
        </is>
      </c>
      <c r="F11" s="11" t="inlineStr">
        <is>
          <t>Last reviewed / rotated</t>
        </is>
      </c>
      <c r="G11" s="11" t="inlineStr">
        <is>
          <t>Next review / rotation due</t>
        </is>
      </c>
    </row>
    <row r="12" ht="34.7" customHeight="1">
      <c r="A12" s="12" t="inlineStr">
        <is>
          <t>ADM-01</t>
        </is>
      </c>
      <c r="B12" s="12" t="inlineStr">
        <is>
          <t>idp-admin</t>
        </is>
      </c>
      <c r="C12" s="12" t="inlineStr">
        <is>
          <t>User-admin; identity platform; MFA + hardware token</t>
        </is>
      </c>
      <c r="D12" s="12" t="inlineStr">
        <is>
          <t>Sam Whitfield, IT</t>
        </is>
      </c>
      <c r="E12" s="12" t="inlineStr">
        <is>
          <t>Active</t>
        </is>
      </c>
      <c r="F12" s="26">
        <v>46042</v>
      </c>
      <c r="G12" s="26">
        <v>46132</v>
      </c>
    </row>
    <row r="13" ht="34.7" customHeight="1">
      <c r="A13" s="12" t="inlineStr">
        <is>
          <t>ADM-02</t>
        </is>
      </c>
      <c r="B13" s="12" t="inlineStr">
        <is>
          <t>sbc-admin</t>
        </is>
      </c>
      <c r="C13" s="12" t="inlineStr">
        <is>
          <t>User-admin; Session Border Controller; MFA</t>
        </is>
      </c>
      <c r="D13" s="12" t="inlineStr">
        <is>
          <t>Sam Whitfield, IT</t>
        </is>
      </c>
      <c r="E13" s="12" t="inlineStr">
        <is>
          <t>Active</t>
        </is>
      </c>
      <c r="F13" s="26">
        <v>46042</v>
      </c>
      <c r="G13" s="26">
        <v>46132</v>
      </c>
    </row>
    <row r="14" ht="34.7" customHeight="1">
      <c r="A14" s="12" t="inlineStr">
        <is>
          <t>SVC-01</t>
        </is>
      </c>
      <c r="B14" s="12" t="inlineStr">
        <is>
          <t>svc-cad-sql</t>
        </is>
      </c>
      <c r="C14" s="12" t="inlineStr">
        <is>
          <t>Service; CAD database; vaulted, rotated 60 days</t>
        </is>
      </c>
      <c r="D14" s="12" t="inlineStr">
        <is>
          <t>Raymond Osei, IT</t>
        </is>
      </c>
      <c r="E14" s="12" t="inlineStr">
        <is>
          <t>Active</t>
        </is>
      </c>
      <c r="F14" s="26">
        <v>46042</v>
      </c>
      <c r="G14" s="26">
        <v>46132</v>
      </c>
    </row>
    <row r="15" ht="15" customHeight="1">
      <c r="A15" s="12" t="inlineStr">
        <is>
          <t>SVC-02</t>
        </is>
      </c>
      <c r="B15" s="12" t="inlineStr">
        <is>
          <t>svc-gis</t>
        </is>
      </c>
      <c r="C15" s="12" t="inlineStr">
        <is>
          <t>Service; GIS platform; vaulted</t>
        </is>
      </c>
      <c r="D15" s="12" t="inlineStr">
        <is>
          <t>Raymond Osei, IT</t>
        </is>
      </c>
      <c r="E15" s="12" t="inlineStr">
        <is>
          <t>Active</t>
        </is>
      </c>
      <c r="F15" s="26">
        <v>46042</v>
      </c>
      <c r="G15" s="26">
        <v>46132</v>
      </c>
    </row>
    <row r="16" ht="15" customHeight="1">
      <c r="A16" s="12" t="inlineStr">
        <is>
          <t>CLD-01</t>
        </is>
      </c>
      <c r="B16" s="12" t="inlineStr">
        <is>
          <t>aws-root</t>
        </is>
      </c>
      <c r="C16" s="12" t="inlineStr">
        <is>
          <t>Cloud; AWS org root; MFA, break-glass</t>
        </is>
      </c>
      <c r="D16" s="12" t="inlineStr">
        <is>
          <t>Sam Whitfield, IT</t>
        </is>
      </c>
      <c r="E16" s="12" t="inlineStr">
        <is>
          <t>Active</t>
        </is>
      </c>
      <c r="F16" s="26">
        <v>46042</v>
      </c>
      <c r="G16" s="26">
        <v>46132</v>
      </c>
    </row>
    <row r="17" ht="34.7" customHeight="1">
      <c r="A17" s="12" t="inlineStr">
        <is>
          <t>ADM-03</t>
        </is>
      </c>
      <c r="B17" s="12" t="inlineStr">
        <is>
          <t>legacy-admin</t>
        </is>
      </c>
      <c r="C17" s="12" t="inlineStr">
        <is>
          <t>User-admin; retired RMS host</t>
        </is>
      </c>
      <c r="D17" s="12" t="inlineStr">
        <is>
          <t>Raymond Osei, IT</t>
        </is>
      </c>
      <c r="E17" s="12" t="inlineStr">
        <is>
          <t>Decommissioned</t>
        </is>
      </c>
      <c r="F17" s="26">
        <v>45950</v>
      </c>
      <c r="G17" s="26">
        <v>46042</v>
      </c>
    </row>
    <row r="18" ht="19.5" customHeight="1">
      <c r="A18" s="12" t="n"/>
      <c r="B18" s="12" t="n"/>
      <c r="C18" s="12" t="n"/>
      <c r="D18" s="12" t="n"/>
      <c r="E18" s="12" t="n"/>
      <c r="F18" s="12" t="n"/>
      <c r="G18" s="12" t="n"/>
    </row>
    <row r="19" ht="19.5" customHeight="1">
      <c r="A19" s="12" t="n"/>
      <c r="B19" s="12" t="n"/>
      <c r="C19" s="12" t="n"/>
      <c r="D19" s="12" t="n"/>
      <c r="E19" s="12" t="n"/>
      <c r="F19" s="12" t="n"/>
      <c r="G19" s="12" t="n"/>
    </row>
    <row r="20" ht="19.5" customHeight="1">
      <c r="A20" s="12" t="n"/>
      <c r="B20" s="12" t="n"/>
      <c r="C20" s="12" t="n"/>
      <c r="D20" s="12" t="n"/>
      <c r="E20" s="12" t="n"/>
      <c r="F20" s="12" t="n"/>
      <c r="G20" s="12" t="n"/>
    </row>
    <row r="21" ht="19.5" customHeight="1">
      <c r="A21" s="12" t="n"/>
      <c r="B21" s="12" t="n"/>
      <c r="C21" s="12" t="n"/>
      <c r="D21" s="12" t="n"/>
      <c r="E21" s="12" t="n"/>
      <c r="F21" s="12" t="n"/>
      <c r="G21" s="12" t="n"/>
    </row>
    <row r="22"/>
    <row r="23" ht="15" customHeight="1">
      <c r="A23" s="5" t="inlineStr">
        <is>
          <t>Summary (as of 2026-03-21)</t>
        </is>
      </c>
    </row>
    <row r="24" ht="15" customHeight="1">
      <c r="A24" s="4" t="inlineStr">
        <is>
          <t>Total entries</t>
        </is>
      </c>
      <c r="B24" s="24" t="n"/>
      <c r="C24" s="13">
        <f>COUNTA(A12:A21)</f>
      </c>
    </row>
    <row r="25" ht="15" customHeight="1">
      <c r="A25" s="4" t="inlineStr">
        <is>
          <t>Active</t>
        </is>
      </c>
      <c r="B25" s="24" t="n"/>
      <c r="C25" s="13">
        <f>COUNTIF(E12:E21,"Active")</f>
      </c>
    </row>
    <row r="26" ht="15" customHeight="1">
      <c r="A26" s="4" t="inlineStr">
        <is>
          <t>Disabled</t>
        </is>
      </c>
      <c r="B26" s="24" t="n"/>
      <c r="C26" s="13">
        <f>COUNTIF(E12:E21,"Disabled")</f>
      </c>
    </row>
    <row r="27" ht="15" customHeight="1">
      <c r="A27" s="4" t="inlineStr">
        <is>
          <t>Decommissioned</t>
        </is>
      </c>
      <c r="B27" s="24" t="n"/>
      <c r="C27" s="13">
        <f>COUNTIF(E12:E21,"Decommissioned")</f>
      </c>
    </row>
    <row r="28" ht="15" customHeight="1">
      <c r="A28" s="4" t="inlineStr">
        <is>
          <t>Past due for review</t>
        </is>
      </c>
      <c r="B28" s="24" t="n"/>
      <c r="C28" s="13">
        <f>COUNTIF(G12:G21,"&lt;"&amp;DATE(2026,3,21))</f>
      </c>
    </row>
    <row r="29" ht="15" customHeight="1">
      <c r="A29" s="4" t="n"/>
      <c r="B29" s="24" t="n"/>
      <c r="C29" s="13" t="n"/>
    </row>
    <row r="30"/>
    <row r="31" ht="15" customHeight="1">
      <c r="A31" s="5" t="inlineStr">
        <is>
          <t>Source Authority</t>
        </is>
      </c>
    </row>
    <row r="32" ht="15" customHeight="1">
      <c r="A32" s="9" t="n"/>
    </row>
    <row r="33" ht="15" customHeight="1">
      <c r="A33" s="3" t="inlineStr">
        <is>
          <t>NENA-STA-040.2-2024: §6.2.1 (Account Management); §6.5 (Rights &amp; Privileges)</t>
        </is>
      </c>
    </row>
    <row r="34" ht="15" customHeight="1">
      <c r="A34" s="3" t="inlineStr">
        <is>
          <t>NIST SP 800-53 Rev. 5: AC-2, AC-3, AC-6, IA-2, IA-4, IA-5</t>
        </is>
      </c>
    </row>
    <row r="35" ht="15" customHeight="1">
      <c r="A35" s="3" t="inlineStr">
        <is>
          <t>Indiana statutes and administrative code: 240 IAC 5</t>
        </is>
      </c>
    </row>
    <row r="36" ht="15" customHeight="1">
      <c r="A36" s="3" t="inlineStr">
        <is>
          <t>CJIS Security Policy v5.9: §5.5 (Access Control); §5.6 (Identification &amp; Authentication)</t>
        </is>
      </c>
    </row>
    <row r="37"/>
    <row r="38" ht="15" customHeight="1">
      <c r="A38" s="5" t="inlineStr">
        <is>
          <t>Approval Signatures</t>
        </is>
      </c>
    </row>
    <row r="39" ht="17" customHeight="1">
      <c r="A39" s="11" t="inlineStr">
        <is>
          <t>Role</t>
        </is>
      </c>
      <c r="B39" s="11" t="inlineStr">
        <is>
          <t>Name</t>
        </is>
      </c>
      <c r="C39" s="11" t="inlineStr">
        <is>
          <t>Signature</t>
        </is>
      </c>
      <c r="D39" s="11" t="inlineStr">
        <is>
          <t>Date</t>
        </is>
      </c>
      <c r="E39" s="14" t="n"/>
      <c r="F39" s="14" t="n"/>
      <c r="G39" s="14" t="n"/>
    </row>
    <row r="40" ht="34.7" customHeight="1">
      <c r="A40" s="12" t="inlineStr">
        <is>
          <t>Executive Director</t>
        </is>
      </c>
      <c r="B40" s="15" t="inlineStr">
        <is>
          <t>Dr. Lisa Park</t>
        </is>
      </c>
      <c r="C40" s="15" t="inlineStr">
        <is>
          <t>/s/ Dr. Lisa Park</t>
        </is>
      </c>
      <c r="D40" s="27">
        <v>46042</v>
      </c>
    </row>
    <row r="41" ht="66.4" customHeight="1">
      <c r="A41" s="12" t="inlineStr">
        <is>
          <t>Owner (Information Security Analyst)</t>
        </is>
      </c>
      <c r="B41" s="15" t="inlineStr">
        <is>
          <t>(on file)</t>
        </is>
      </c>
      <c r="C41" s="15" t="inlineStr">
        <is>
          <t>(on file)</t>
        </is>
      </c>
      <c r="D41" s="27">
        <v>46042</v>
      </c>
    </row>
    <row r="42"/>
    <row r="43" ht="15" customHeight="1">
      <c r="A43" s="5" t="inlineStr">
        <is>
          <t>Revision History</t>
        </is>
      </c>
    </row>
    <row r="44" ht="17" customHeight="1">
      <c r="A44" s="11" t="inlineStr">
        <is>
          <t>Version</t>
        </is>
      </c>
      <c r="B44" s="11" t="inlineStr">
        <is>
          <t>Date</t>
        </is>
      </c>
      <c r="C44" s="11" t="inlineStr">
        <is>
          <t>Author</t>
        </is>
      </c>
      <c r="D44" s="11" t="inlineStr">
        <is>
          <t>Summary of Change</t>
        </is>
      </c>
      <c r="E44" s="14" t="n"/>
      <c r="F44" s="14" t="n"/>
      <c r="G44" s="14" t="n"/>
    </row>
    <row r="45" ht="17" customHeight="1">
      <c r="A45" s="12" t="inlineStr">
        <is>
          <t>1.0</t>
        </is>
      </c>
      <c r="B45" s="26">
        <v>46042</v>
      </c>
      <c r="C45" s="12" t="inlineStr">
        <is>
          <t>Information Security Analyst</t>
        </is>
      </c>
      <c r="D45" s="12" t="inlineStr">
        <is>
          <t>Initial issue</t>
        </is>
      </c>
      <c r="E45" s="12" t="n"/>
      <c r="F45" s="12" t="n"/>
      <c r="G45" s="12" t="n"/>
    </row>
    <row r="46"/>
    <row r="47">
      <c r="A47"/>
    </row>
  </sheetData>
  <mergeCells count="29">
    <mergeCell ref="A32:G32"/>
    <mergeCell ref="A24:B24"/>
    <mergeCell ref="C6:G6"/>
    <mergeCell ref="A35:G35"/>
    <mergeCell ref="A38:G38"/>
    <mergeCell ref="C5:G5"/>
    <mergeCell ref="A43:G43"/>
    <mergeCell ref="A6:B6"/>
    <mergeCell ref="A10:G10"/>
    <mergeCell ref="C4:G4"/>
    <mergeCell ref="A9:G9"/>
    <mergeCell ref="A25:B25"/>
    <mergeCell ref="A31:G31"/>
    <mergeCell ref="A7:B7"/>
    <mergeCell ref="A34:G34"/>
    <mergeCell ref="A27:B27"/>
    <mergeCell ref="A3:B3"/>
    <mergeCell ref="A36:G36"/>
    <mergeCell ref="A26:B26"/>
    <mergeCell ref="A1:G1"/>
    <mergeCell ref="A5:B5"/>
    <mergeCell ref="A4:B4"/>
    <mergeCell ref="C7:G7"/>
    <mergeCell ref="A29:B29"/>
    <mergeCell ref="A28:B28"/>
    <mergeCell ref="A2:G2"/>
    <mergeCell ref="A33:G33"/>
    <mergeCell ref="C3:G3"/>
    <mergeCell ref="A23:G2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2026-06-01T15:16:29Z</dcterms:created>
  <dcterms:modified xmlns:dcterms="http://purl.org/dc/terms/" xmlns:xsi="http://www.w3.org/2001/XMLSchema-instance" xsi:type="dcterms:W3CDTF">2026-07-27T14:36:09Z</dcterms:modified>
  <cp:lastModifiedBy/>
  <cp:revision>0</cp:revision>
  <dc:title xmlns:dc="http://purl.org/dc/elements/1.1/">Privileged &amp; Service Account Inventory - EXAMPLE - L</dc:title>
</cp:coreProperties>
</file>
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gister" sheetId="1" state="visible" r:id="rId1"/>
  </sheets>
  <definedNames>
    <definedName name="_xlnm.Print_Titles" localSheetId="0">Register!$11:$11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i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4" fillId="3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/Relationships>
</file>

<file path=xl/drawings/drawing1.xml><?xml version="1.0" encoding="utf-8"?>
<wsDr xmlns="http://schemas.openxmlformats.org/drawingml/2006/spreadsheetDrawing">
  <oneCellAnchor>
    <from>
      <col>10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6667500" cy="419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667500" cy="419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6667500" cy="419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6667500" cy="419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73"/>
  <sheetViews>
    <sheetView showGridLines="0" workbookViewId="0">
      <pane ySplit="11" topLeftCell="A12" activePane="bottomLeft" state="frozen"/>
      <selection pane="bottomLeft" activeCell="A12" sqref="A12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22" customWidth="1" min="4" max="4"/>
    <col width="20" customWidth="1" min="5" max="5"/>
    <col width="20" customWidth="1" min="6" max="6"/>
    <col width="22" customWidth="1" min="7" max="7"/>
    <col width="20" customWidth="1" min="8" max="8"/>
    <col width="12" customWidth="1" min="9" max="9"/>
    <col width="14" customWidth="1" min="10" max="10"/>
    <col width="14" customWidth="1" min="11" max="11"/>
  </cols>
  <sheetData>
    <row r="1" ht="46" customHeight="1">
      <c r="C1" s="1" t="inlineStr">
        <is>
          <t>Tri-River Regional 911 Center   ·   Worked Example</t>
        </is>
      </c>
    </row>
    <row r="2" ht="25.5" customHeight="1">
      <c r="A2" s="2" t="inlineStr">
        <is>
          <t>Master Asset Inventory</t>
        </is>
      </c>
    </row>
    <row r="3" ht="15" customHeight="1"/>
    <row r="4" ht="15" customHeight="1">
      <c r="A4" s="3" t="inlineStr">
        <is>
          <t>Authority</t>
        </is>
      </c>
      <c r="B4" s="4" t="n"/>
      <c r="C4" s="5" t="inlineStr">
        <is>
          <t>Adopted by Tri-River Regional 911 Center under the authority of Dr. Lisa Park, Director.</t>
        </is>
      </c>
      <c r="D4" s="4" t="n"/>
      <c r="E4" s="4" t="n"/>
      <c r="F4" s="4" t="n"/>
      <c r="G4" s="4" t="n"/>
      <c r="H4" s="4" t="n"/>
      <c r="I4" s="4" t="n"/>
      <c r="J4" s="4" t="n"/>
      <c r="K4" s="4" t="n"/>
    </row>
    <row r="5" ht="15" customHeight="1">
      <c r="A5" s="3" t="inlineStr">
        <is>
          <t>Owner</t>
        </is>
      </c>
      <c r="B5" s="4" t="n"/>
      <c r="C5" s="5" t="inlineStr">
        <is>
          <t>IT Operations Lead</t>
        </is>
      </c>
      <c r="D5" s="4" t="n"/>
      <c r="E5" s="4" t="n"/>
      <c r="F5" s="4" t="n"/>
      <c r="G5" s="4" t="n"/>
      <c r="H5" s="4" t="n"/>
      <c r="I5" s="4" t="n"/>
      <c r="J5" s="4" t="n"/>
      <c r="K5" s="4" t="n"/>
    </row>
    <row r="6" ht="15" customHeight="1">
      <c r="A6" s="3" t="inlineStr">
        <is>
          <t>Version / Dates</t>
        </is>
      </c>
      <c r="B6" s="4" t="n"/>
      <c r="C6" s="5" t="inlineStr">
        <is>
          <t>Version 3.1      Effective Date 2026-03-01      Next Review 2026-04-01</t>
        </is>
      </c>
      <c r="D6" s="4" t="n"/>
      <c r="E6" s="4" t="n"/>
      <c r="F6" s="4" t="n"/>
      <c r="G6" s="4" t="n"/>
      <c r="H6" s="4" t="n"/>
      <c r="I6" s="4" t="n"/>
      <c r="J6" s="4" t="n"/>
      <c r="K6" s="4" t="n"/>
    </row>
    <row r="7" ht="15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  <c r="K7" s="4" t="n"/>
    </row>
    <row r="8" ht="30" customHeight="1">
      <c r="A8" s="3" t="inlineStr">
        <is>
          <t>Maintenance method &amp; cadence</t>
        </is>
      </c>
      <c r="B8" s="4" t="n"/>
      <c r="C8" s="5" t="inlineStr">
        <is>
          <t>Reviewed monthly by the IT Operations Lead. Update method: automated discovery tool, reconciled monthly; entries reflect changes continuously.</t>
        </is>
      </c>
      <c r="D8" s="4" t="n"/>
      <c r="E8" s="4" t="n"/>
      <c r="F8" s="4" t="n"/>
      <c r="G8" s="4" t="n"/>
      <c r="H8" s="4" t="n"/>
      <c r="I8" s="4" t="n"/>
      <c r="J8" s="4" t="n"/>
      <c r="K8" s="4" t="n"/>
    </row>
    <row r="9" ht="15" customHeight="1"/>
    <row r="10" ht="15" customHeight="1">
      <c r="A10" s="6" t="inlineStr">
        <is>
          <t>Register A: Master Asset Register</t>
        </is>
      </c>
    </row>
    <row r="11" ht="42" customHeight="1">
      <c r="A11" s="7" t="inlineStr">
        <is>
          <t>ID</t>
        </is>
      </c>
      <c r="B11" s="7" t="inlineStr">
        <is>
          <t>Asset Name</t>
        </is>
      </c>
      <c r="C11" s="7" t="inlineStr">
        <is>
          <t>Category (HW / SW / Firmware)</t>
        </is>
      </c>
      <c r="D11" s="7" t="inlineStr">
        <is>
          <t>Make / Model</t>
        </is>
      </c>
      <c r="E11" s="7" t="inlineStr">
        <is>
          <t>Version / Firmware</t>
        </is>
      </c>
      <c r="F11" s="7" t="inlineStr">
        <is>
          <t>Owner (Role)</t>
        </is>
      </c>
      <c r="G11" s="7" t="inlineStr">
        <is>
          <t>Location</t>
        </is>
      </c>
      <c r="H11" s="7" t="inlineStr">
        <is>
          <t>Connectivity / Network</t>
        </is>
      </c>
      <c r="I11" s="7" t="inlineStr">
        <is>
          <t>Status</t>
        </is>
      </c>
      <c r="J11" s="7" t="inlineStr">
        <is>
          <t>Last Reviewed</t>
        </is>
      </c>
      <c r="K11" s="7" t="inlineStr">
        <is>
          <t>Next Review Due</t>
        </is>
      </c>
    </row>
    <row r="12" ht="34.7" customHeight="1">
      <c r="A12" s="8" t="inlineStr">
        <is>
          <t>AST-001</t>
        </is>
      </c>
      <c r="B12" s="8" t="inlineStr">
        <is>
          <t>Primary CAD server (Center A)</t>
        </is>
      </c>
      <c r="C12" s="8" t="inlineStr">
        <is>
          <t>Hardware</t>
        </is>
      </c>
      <c r="D12" s="8" t="inlineStr">
        <is>
          <t>Rackmount server, Vendor A</t>
        </is>
      </c>
      <c r="E12" s="8" t="inlineStr">
        <is>
          <t>App v11.3 / fw 5.0</t>
        </is>
      </c>
      <c r="F12" s="8" t="inlineStr">
        <is>
          <t>IT Operations Lead</t>
        </is>
      </c>
      <c r="G12" s="8" t="inlineStr">
        <is>
          <t>Center A data hall</t>
        </is>
      </c>
      <c r="H12" s="8" t="inlineStr">
        <is>
          <t>CAD VLAN</t>
        </is>
      </c>
      <c r="I12" s="8" t="inlineStr">
        <is>
          <t>Active</t>
        </is>
      </c>
      <c r="J12" s="14">
        <v>46078</v>
      </c>
      <c r="K12" s="14">
        <v>46106</v>
      </c>
    </row>
    <row r="13" ht="34.7" customHeight="1">
      <c r="A13" s="8" t="inlineStr">
        <is>
          <t>AST-002</t>
        </is>
      </c>
      <c r="B13" s="8" t="inlineStr">
        <is>
          <t>Secondary CAD server (Center B)</t>
        </is>
      </c>
      <c r="C13" s="8" t="inlineStr">
        <is>
          <t>Hardware</t>
        </is>
      </c>
      <c r="D13" s="8" t="inlineStr">
        <is>
          <t>Rackmount server, Vendor A</t>
        </is>
      </c>
      <c r="E13" s="8" t="inlineStr">
        <is>
          <t>App v11.3 / fw 5.0</t>
        </is>
      </c>
      <c r="F13" s="8" t="inlineStr">
        <is>
          <t>IT Operations Lead</t>
        </is>
      </c>
      <c r="G13" s="8" t="inlineStr">
        <is>
          <t>Center B data hall</t>
        </is>
      </c>
      <c r="H13" s="8" t="inlineStr">
        <is>
          <t>CAD VLAN</t>
        </is>
      </c>
      <c r="I13" s="8" t="inlineStr">
        <is>
          <t>Active</t>
        </is>
      </c>
      <c r="J13" s="14">
        <v>46078</v>
      </c>
      <c r="K13" s="14">
        <v>46106</v>
      </c>
    </row>
    <row r="14" ht="34.7" customHeight="1">
      <c r="A14" s="8" t="inlineStr">
        <is>
          <t>AST-003</t>
        </is>
      </c>
      <c r="B14" s="8" t="inlineStr">
        <is>
          <t>GIS / mapping server cluster</t>
        </is>
      </c>
      <c r="C14" s="8" t="inlineStr">
        <is>
          <t>Hardware</t>
        </is>
      </c>
      <c r="D14" s="8" t="inlineStr">
        <is>
          <t>Rackmount server, Vendor A</t>
        </is>
      </c>
      <c r="E14" s="8" t="inlineStr">
        <is>
          <t>fw 4.8</t>
        </is>
      </c>
      <c r="F14" s="8" t="inlineStr">
        <is>
          <t>IT Operations Lead</t>
        </is>
      </c>
      <c r="G14" s="8" t="inlineStr">
        <is>
          <t>Center A data hall</t>
        </is>
      </c>
      <c r="H14" s="8" t="inlineStr">
        <is>
          <t>CAD VLAN</t>
        </is>
      </c>
      <c r="I14" s="8" t="inlineStr">
        <is>
          <t>Active</t>
        </is>
      </c>
      <c r="J14" s="14">
        <v>46078</v>
      </c>
      <c r="K14" s="14">
        <v>46106</v>
      </c>
    </row>
    <row r="15" ht="34.7" customHeight="1">
      <c r="A15" s="8" t="inlineStr">
        <is>
          <t>AST-004</t>
        </is>
      </c>
      <c r="B15" s="8" t="inlineStr">
        <is>
          <t>RMS integration server</t>
        </is>
      </c>
      <c r="C15" s="8" t="inlineStr">
        <is>
          <t>Hardware</t>
        </is>
      </c>
      <c r="D15" s="8" t="inlineStr">
        <is>
          <t>Rackmount server, Vendor A</t>
        </is>
      </c>
      <c r="E15" s="8" t="inlineStr">
        <is>
          <t>fw 4.8</t>
        </is>
      </c>
      <c r="F15" s="8" t="inlineStr">
        <is>
          <t>IT Operations Lead</t>
        </is>
      </c>
      <c r="G15" s="8" t="inlineStr">
        <is>
          <t>Center A data hall</t>
        </is>
      </c>
      <c r="H15" s="8" t="inlineStr">
        <is>
          <t>Integration VLAN</t>
        </is>
      </c>
      <c r="I15" s="8" t="inlineStr">
        <is>
          <t>Active</t>
        </is>
      </c>
      <c r="J15" s="14">
        <v>46078</v>
      </c>
      <c r="K15" s="14">
        <v>46106</v>
      </c>
    </row>
    <row r="16" ht="34.7" customHeight="1">
      <c r="A16" s="8" t="inlineStr">
        <is>
          <t>AST-005</t>
        </is>
      </c>
      <c r="B16" s="8" t="inlineStr">
        <is>
          <t>ALI / location server</t>
        </is>
      </c>
      <c r="C16" s="8" t="inlineStr">
        <is>
          <t>Hardware</t>
        </is>
      </c>
      <c r="D16" s="8" t="inlineStr">
        <is>
          <t>Rackmount server, Vendor A</t>
        </is>
      </c>
      <c r="E16" s="8" t="inlineStr">
        <is>
          <t>fw 4.6</t>
        </is>
      </c>
      <c r="F16" s="8" t="inlineStr">
        <is>
          <t>IT Operations Lead</t>
        </is>
      </c>
      <c r="G16" s="8" t="inlineStr">
        <is>
          <t>Center A data hall</t>
        </is>
      </c>
      <c r="H16" s="8" t="inlineStr">
        <is>
          <t>NG911 VLAN</t>
        </is>
      </c>
      <c r="I16" s="8" t="inlineStr">
        <is>
          <t>Active</t>
        </is>
      </c>
      <c r="J16" s="14">
        <v>46078</v>
      </c>
      <c r="K16" s="14">
        <v>46106</v>
      </c>
    </row>
    <row r="17" ht="34.7" customHeight="1">
      <c r="A17" s="8" t="inlineStr">
        <is>
          <t>AST-006</t>
        </is>
      </c>
      <c r="B17" s="8" t="inlineStr">
        <is>
          <t>Video integration server</t>
        </is>
      </c>
      <c r="C17" s="8" t="inlineStr">
        <is>
          <t>Hardware</t>
        </is>
      </c>
      <c r="D17" s="8" t="inlineStr">
        <is>
          <t>Rackmount server, Vendor A</t>
        </is>
      </c>
      <c r="E17" s="8" t="inlineStr">
        <is>
          <t>fw 4.6</t>
        </is>
      </c>
      <c r="F17" s="8" t="inlineStr">
        <is>
          <t>Information Security Analyst</t>
        </is>
      </c>
      <c r="G17" s="8" t="inlineStr">
        <is>
          <t>Center B data hall</t>
        </is>
      </c>
      <c r="H17" s="8" t="inlineStr">
        <is>
          <t>Integration VLAN</t>
        </is>
      </c>
      <c r="I17" s="8" t="inlineStr">
        <is>
          <t>Active</t>
        </is>
      </c>
      <c r="J17" s="14">
        <v>46078</v>
      </c>
      <c r="K17" s="14">
        <v>46106</v>
      </c>
    </row>
    <row r="18" ht="34.7" customHeight="1">
      <c r="A18" s="8" t="inlineStr">
        <is>
          <t>AST-007</t>
        </is>
      </c>
      <c r="B18" s="8" t="inlineStr">
        <is>
          <t>NG911 BCF / ESRP edge (Center A)</t>
        </is>
      </c>
      <c r="C18" s="8" t="inlineStr">
        <is>
          <t>Hardware</t>
        </is>
      </c>
      <c r="D18" s="8" t="inlineStr">
        <is>
          <t>Provider-managed edge device</t>
        </is>
      </c>
      <c r="E18" s="8" t="inlineStr">
        <is>
          <t>Provider-managed</t>
        </is>
      </c>
      <c r="F18" s="8" t="inlineStr">
        <is>
          <t>ESInet Provider</t>
        </is>
      </c>
      <c r="G18" s="8" t="inlineStr">
        <is>
          <t>Center A demarcation</t>
        </is>
      </c>
      <c r="H18" s="8" t="inlineStr">
        <is>
          <t>ESInet uplink</t>
        </is>
      </c>
      <c r="I18" s="8" t="inlineStr">
        <is>
          <t>Active</t>
        </is>
      </c>
      <c r="J18" s="14">
        <v>46078</v>
      </c>
      <c r="K18" s="14">
        <v>46106</v>
      </c>
    </row>
    <row r="19" ht="34.7" customHeight="1">
      <c r="A19" s="8" t="inlineStr">
        <is>
          <t>AST-008</t>
        </is>
      </c>
      <c r="B19" s="8" t="inlineStr">
        <is>
          <t>NG911 BCF / ESRP edge (Center B)</t>
        </is>
      </c>
      <c r="C19" s="8" t="inlineStr">
        <is>
          <t>Hardware</t>
        </is>
      </c>
      <c r="D19" s="8" t="inlineStr">
        <is>
          <t>Provider-managed edge device</t>
        </is>
      </c>
      <c r="E19" s="8" t="inlineStr">
        <is>
          <t>Provider-managed</t>
        </is>
      </c>
      <c r="F19" s="8" t="inlineStr">
        <is>
          <t>ESInet Provider</t>
        </is>
      </c>
      <c r="G19" s="8" t="inlineStr">
        <is>
          <t>Center B demarcation</t>
        </is>
      </c>
      <c r="H19" s="8" t="inlineStr">
        <is>
          <t>ESInet uplink</t>
        </is>
      </c>
      <c r="I19" s="8" t="inlineStr">
        <is>
          <t>Active</t>
        </is>
      </c>
      <c r="J19" s="14">
        <v>46078</v>
      </c>
      <c r="K19" s="14">
        <v>46106</v>
      </c>
    </row>
    <row r="20" ht="34.7" customHeight="1">
      <c r="A20" s="8" t="inlineStr">
        <is>
          <t>AST-009</t>
        </is>
      </c>
      <c r="B20" s="8" t="inlineStr">
        <is>
          <t>Call-handling workstation 1</t>
        </is>
      </c>
      <c r="C20" s="8" t="inlineStr">
        <is>
          <t>Hardware</t>
        </is>
      </c>
      <c r="D20" s="8" t="inlineStr">
        <is>
          <t>Dispatch workstation, standard build</t>
        </is>
      </c>
      <c r="E20" s="8" t="inlineStr">
        <is>
          <t>OS current supported build</t>
        </is>
      </c>
      <c r="F20" s="8" t="inlineStr">
        <is>
          <t>IT Operations Lead</t>
        </is>
      </c>
      <c r="G20" s="8" t="inlineStr">
        <is>
          <t>Center A floor position 1</t>
        </is>
      </c>
      <c r="H20" s="8" t="inlineStr">
        <is>
          <t>Dispatch VLAN</t>
        </is>
      </c>
      <c r="I20" s="8" t="inlineStr">
        <is>
          <t>Active</t>
        </is>
      </c>
      <c r="J20" s="14">
        <v>46078</v>
      </c>
      <c r="K20" s="14">
        <v>46106</v>
      </c>
    </row>
    <row r="21" ht="34.7" customHeight="1">
      <c r="A21" s="8" t="inlineStr">
        <is>
          <t>AST-010</t>
        </is>
      </c>
      <c r="B21" s="8" t="inlineStr">
        <is>
          <t>Call-handling workstation 2</t>
        </is>
      </c>
      <c r="C21" s="8" t="inlineStr">
        <is>
          <t>Hardware</t>
        </is>
      </c>
      <c r="D21" s="8" t="inlineStr">
        <is>
          <t>Dispatch workstation, standard build</t>
        </is>
      </c>
      <c r="E21" s="8" t="inlineStr">
        <is>
          <t>OS current supported build</t>
        </is>
      </c>
      <c r="F21" s="8" t="inlineStr">
        <is>
          <t>IT Operations Lead</t>
        </is>
      </c>
      <c r="G21" s="8" t="inlineStr">
        <is>
          <t>Center A floor position 2</t>
        </is>
      </c>
      <c r="H21" s="8" t="inlineStr">
        <is>
          <t>Dispatch VLAN</t>
        </is>
      </c>
      <c r="I21" s="8" t="inlineStr">
        <is>
          <t>Active</t>
        </is>
      </c>
      <c r="J21" s="14">
        <v>46078</v>
      </c>
      <c r="K21" s="14">
        <v>46106</v>
      </c>
    </row>
    <row r="22" ht="34.7" customHeight="1">
      <c r="A22" s="8" t="inlineStr">
        <is>
          <t>AST-011</t>
        </is>
      </c>
      <c r="B22" s="8" t="inlineStr">
        <is>
          <t>Call-handling workstation 3</t>
        </is>
      </c>
      <c r="C22" s="8" t="inlineStr">
        <is>
          <t>Hardware</t>
        </is>
      </c>
      <c r="D22" s="8" t="inlineStr">
        <is>
          <t>Dispatch workstation, standard build</t>
        </is>
      </c>
      <c r="E22" s="8" t="inlineStr">
        <is>
          <t>OS current supported build</t>
        </is>
      </c>
      <c r="F22" s="8" t="inlineStr">
        <is>
          <t>IT Operations Lead</t>
        </is>
      </c>
      <c r="G22" s="8" t="inlineStr">
        <is>
          <t>Center A floor position 3</t>
        </is>
      </c>
      <c r="H22" s="8" t="inlineStr">
        <is>
          <t>Dispatch VLAN</t>
        </is>
      </c>
      <c r="I22" s="8" t="inlineStr">
        <is>
          <t>Active</t>
        </is>
      </c>
      <c r="J22" s="14">
        <v>46078</v>
      </c>
      <c r="K22" s="14">
        <v>46106</v>
      </c>
    </row>
    <row r="23" ht="34.7" customHeight="1">
      <c r="A23" s="8" t="inlineStr">
        <is>
          <t>AST-012</t>
        </is>
      </c>
      <c r="B23" s="8" t="inlineStr">
        <is>
          <t>Call-handling workstation 4</t>
        </is>
      </c>
      <c r="C23" s="8" t="inlineStr">
        <is>
          <t>Hardware</t>
        </is>
      </c>
      <c r="D23" s="8" t="inlineStr">
        <is>
          <t>Dispatch workstation, standard build</t>
        </is>
      </c>
      <c r="E23" s="8" t="inlineStr">
        <is>
          <t>OS current supported build</t>
        </is>
      </c>
      <c r="F23" s="8" t="inlineStr">
        <is>
          <t>IT Operations Lead</t>
        </is>
      </c>
      <c r="G23" s="8" t="inlineStr">
        <is>
          <t>Center A floor position 4</t>
        </is>
      </c>
      <c r="H23" s="8" t="inlineStr">
        <is>
          <t>Dispatch VLAN</t>
        </is>
      </c>
      <c r="I23" s="8" t="inlineStr">
        <is>
          <t>Active</t>
        </is>
      </c>
      <c r="J23" s="14">
        <v>46078</v>
      </c>
      <c r="K23" s="14">
        <v>46106</v>
      </c>
    </row>
    <row r="24" ht="34.7" customHeight="1">
      <c r="A24" s="8" t="inlineStr">
        <is>
          <t>AST-013</t>
        </is>
      </c>
      <c r="B24" s="8" t="inlineStr">
        <is>
          <t>Call-handling workstation 5</t>
        </is>
      </c>
      <c r="C24" s="8" t="inlineStr">
        <is>
          <t>Hardware</t>
        </is>
      </c>
      <c r="D24" s="8" t="inlineStr">
        <is>
          <t>Dispatch workstation, standard build</t>
        </is>
      </c>
      <c r="E24" s="8" t="inlineStr">
        <is>
          <t>OS current supported build</t>
        </is>
      </c>
      <c r="F24" s="8" t="inlineStr">
        <is>
          <t>IT Operations Lead</t>
        </is>
      </c>
      <c r="G24" s="8" t="inlineStr">
        <is>
          <t>Center A floor position 5</t>
        </is>
      </c>
      <c r="H24" s="8" t="inlineStr">
        <is>
          <t>Dispatch VLAN</t>
        </is>
      </c>
      <c r="I24" s="8" t="inlineStr">
        <is>
          <t>Active</t>
        </is>
      </c>
      <c r="J24" s="14">
        <v>46078</v>
      </c>
      <c r="K24" s="14">
        <v>46106</v>
      </c>
    </row>
    <row r="25" ht="34.7" customHeight="1">
      <c r="A25" s="8" t="inlineStr">
        <is>
          <t>AST-014</t>
        </is>
      </c>
      <c r="B25" s="8" t="inlineStr">
        <is>
          <t>Call-handling workstation 6</t>
        </is>
      </c>
      <c r="C25" s="8" t="inlineStr">
        <is>
          <t>Hardware</t>
        </is>
      </c>
      <c r="D25" s="8" t="inlineStr">
        <is>
          <t>Dispatch workstation, standard build</t>
        </is>
      </c>
      <c r="E25" s="8" t="inlineStr">
        <is>
          <t>OS current supported build</t>
        </is>
      </c>
      <c r="F25" s="8" t="inlineStr">
        <is>
          <t>IT Operations Lead</t>
        </is>
      </c>
      <c r="G25" s="8" t="inlineStr">
        <is>
          <t>Center A floor position 6</t>
        </is>
      </c>
      <c r="H25" s="8" t="inlineStr">
        <is>
          <t>Dispatch VLAN</t>
        </is>
      </c>
      <c r="I25" s="8" t="inlineStr">
        <is>
          <t>Active</t>
        </is>
      </c>
      <c r="J25" s="14">
        <v>46078</v>
      </c>
      <c r="K25" s="14">
        <v>46106</v>
      </c>
    </row>
    <row r="26" ht="34.7" customHeight="1">
      <c r="A26" s="8" t="inlineStr">
        <is>
          <t>AST-015</t>
        </is>
      </c>
      <c r="B26" s="8" t="inlineStr">
        <is>
          <t>Call-handling workstation 7</t>
        </is>
      </c>
      <c r="C26" s="8" t="inlineStr">
        <is>
          <t>Hardware</t>
        </is>
      </c>
      <c r="D26" s="8" t="inlineStr">
        <is>
          <t>Dispatch workstation, standard build</t>
        </is>
      </c>
      <c r="E26" s="8" t="inlineStr">
        <is>
          <t>OS current supported build</t>
        </is>
      </c>
      <c r="F26" s="8" t="inlineStr">
        <is>
          <t>IT Operations Lead</t>
        </is>
      </c>
      <c r="G26" s="8" t="inlineStr">
        <is>
          <t>Center A floor position 7</t>
        </is>
      </c>
      <c r="H26" s="8" t="inlineStr">
        <is>
          <t>Dispatch VLAN</t>
        </is>
      </c>
      <c r="I26" s="8" t="inlineStr">
        <is>
          <t>Active</t>
        </is>
      </c>
      <c r="J26" s="14">
        <v>46078</v>
      </c>
      <c r="K26" s="14">
        <v>46106</v>
      </c>
    </row>
    <row r="27" ht="34.7" customHeight="1">
      <c r="A27" s="8" t="inlineStr">
        <is>
          <t>AST-016</t>
        </is>
      </c>
      <c r="B27" s="8" t="inlineStr">
        <is>
          <t>Call-handling workstation 8</t>
        </is>
      </c>
      <c r="C27" s="8" t="inlineStr">
        <is>
          <t>Hardware</t>
        </is>
      </c>
      <c r="D27" s="8" t="inlineStr">
        <is>
          <t>Dispatch workstation, standard build</t>
        </is>
      </c>
      <c r="E27" s="8" t="inlineStr">
        <is>
          <t>OS current supported build</t>
        </is>
      </c>
      <c r="F27" s="8" t="inlineStr">
        <is>
          <t>IT Operations Lead</t>
        </is>
      </c>
      <c r="G27" s="8" t="inlineStr">
        <is>
          <t>Center A floor position 8</t>
        </is>
      </c>
      <c r="H27" s="8" t="inlineStr">
        <is>
          <t>Dispatch VLAN</t>
        </is>
      </c>
      <c r="I27" s="8" t="inlineStr">
        <is>
          <t>Active</t>
        </is>
      </c>
      <c r="J27" s="14">
        <v>46078</v>
      </c>
      <c r="K27" s="14">
        <v>46106</v>
      </c>
    </row>
    <row r="28" ht="34.7" customHeight="1">
      <c r="A28" s="8" t="inlineStr">
        <is>
          <t>AST-017</t>
        </is>
      </c>
      <c r="B28" s="8" t="inlineStr">
        <is>
          <t>Voice logging cluster (Center A)</t>
        </is>
      </c>
      <c r="C28" s="8" t="inlineStr">
        <is>
          <t>Hardware</t>
        </is>
      </c>
      <c r="D28" s="8" t="inlineStr">
        <is>
          <t>Logging appliance, Vendor B</t>
        </is>
      </c>
      <c r="E28" s="8" t="inlineStr">
        <is>
          <t>fw 7.0</t>
        </is>
      </c>
      <c r="F28" s="8" t="inlineStr">
        <is>
          <t>Information Security Analyst</t>
        </is>
      </c>
      <c r="G28" s="8" t="inlineStr">
        <is>
          <t>Center A data hall</t>
        </is>
      </c>
      <c r="H28" s="8" t="inlineStr">
        <is>
          <t>Dispatch VLAN</t>
        </is>
      </c>
      <c r="I28" s="8" t="inlineStr">
        <is>
          <t>Active</t>
        </is>
      </c>
      <c r="J28" s="14">
        <v>46078</v>
      </c>
      <c r="K28" s="14">
        <v>46106</v>
      </c>
    </row>
    <row r="29" ht="34.7" customHeight="1">
      <c r="A29" s="8" t="inlineStr">
        <is>
          <t>AST-018</t>
        </is>
      </c>
      <c r="B29" s="8" t="inlineStr">
        <is>
          <t>Voice logging cluster (Center B)</t>
        </is>
      </c>
      <c r="C29" s="8" t="inlineStr">
        <is>
          <t>Hardware</t>
        </is>
      </c>
      <c r="D29" s="8" t="inlineStr">
        <is>
          <t>Logging appliance, Vendor B</t>
        </is>
      </c>
      <c r="E29" s="8" t="inlineStr">
        <is>
          <t>fw 7.0</t>
        </is>
      </c>
      <c r="F29" s="8" t="inlineStr">
        <is>
          <t>Information Security Analyst</t>
        </is>
      </c>
      <c r="G29" s="8" t="inlineStr">
        <is>
          <t>Center B data hall</t>
        </is>
      </c>
      <c r="H29" s="8" t="inlineStr">
        <is>
          <t>Dispatch VLAN</t>
        </is>
      </c>
      <c r="I29" s="8" t="inlineStr">
        <is>
          <t>Active</t>
        </is>
      </c>
      <c r="J29" s="14">
        <v>46078</v>
      </c>
      <c r="K29" s="14">
        <v>46106</v>
      </c>
    </row>
    <row r="30" ht="34.7" customHeight="1">
      <c r="A30" s="8" t="inlineStr">
        <is>
          <t>AST-019</t>
        </is>
      </c>
      <c r="B30" s="8" t="inlineStr">
        <is>
          <t>Core switch fabric (Center A)</t>
        </is>
      </c>
      <c r="C30" s="8" t="inlineStr">
        <is>
          <t>Hardware</t>
        </is>
      </c>
      <c r="D30" s="8" t="inlineStr">
        <is>
          <t>Managed switch, Vendor C</t>
        </is>
      </c>
      <c r="E30" s="8" t="inlineStr">
        <is>
          <t>fw 3.6</t>
        </is>
      </c>
      <c r="F30" s="8" t="inlineStr">
        <is>
          <t>IT Operations Lead</t>
        </is>
      </c>
      <c r="G30" s="8" t="inlineStr">
        <is>
          <t>Center A data hall</t>
        </is>
      </c>
      <c r="H30" s="8" t="inlineStr">
        <is>
          <t>Core</t>
        </is>
      </c>
      <c r="I30" s="8" t="inlineStr">
        <is>
          <t>Active</t>
        </is>
      </c>
      <c r="J30" s="14">
        <v>46078</v>
      </c>
      <c r="K30" s="14">
        <v>46106</v>
      </c>
    </row>
    <row r="31" ht="34.7" customHeight="1">
      <c r="A31" s="8" t="inlineStr">
        <is>
          <t>AST-020</t>
        </is>
      </c>
      <c r="B31" s="8" t="inlineStr">
        <is>
          <t>Core switch fabric (Center B)</t>
        </is>
      </c>
      <c r="C31" s="8" t="inlineStr">
        <is>
          <t>Hardware</t>
        </is>
      </c>
      <c r="D31" s="8" t="inlineStr">
        <is>
          <t>Managed switch, Vendor C</t>
        </is>
      </c>
      <c r="E31" s="8" t="inlineStr">
        <is>
          <t>fw 3.6</t>
        </is>
      </c>
      <c r="F31" s="8" t="inlineStr">
        <is>
          <t>IT Operations Lead</t>
        </is>
      </c>
      <c r="G31" s="8" t="inlineStr">
        <is>
          <t>Center B data hall</t>
        </is>
      </c>
      <c r="H31" s="8" t="inlineStr">
        <is>
          <t>Core</t>
        </is>
      </c>
      <c r="I31" s="8" t="inlineStr">
        <is>
          <t>Active</t>
        </is>
      </c>
      <c r="J31" s="14">
        <v>46078</v>
      </c>
      <c r="K31" s="14">
        <v>46106</v>
      </c>
    </row>
    <row r="32" ht="34.7" customHeight="1">
      <c r="A32" s="8" t="inlineStr">
        <is>
          <t>AST-021</t>
        </is>
      </c>
      <c r="B32" s="8" t="inlineStr">
        <is>
          <t>Perimeter firewall cluster</t>
        </is>
      </c>
      <c r="C32" s="8" t="inlineStr">
        <is>
          <t>Hardware</t>
        </is>
      </c>
      <c r="D32" s="8" t="inlineStr">
        <is>
          <t>Security appliance, Vendor C</t>
        </is>
      </c>
      <c r="E32" s="8" t="inlineStr">
        <is>
          <t>fw 10.1</t>
        </is>
      </c>
      <c r="F32" s="8" t="inlineStr">
        <is>
          <t>Information Security Analyst</t>
        </is>
      </c>
      <c r="G32" s="8" t="inlineStr">
        <is>
          <t>Both data halls</t>
        </is>
      </c>
      <c r="H32" s="8" t="inlineStr">
        <is>
          <t>Perimeter</t>
        </is>
      </c>
      <c r="I32" s="8" t="inlineStr">
        <is>
          <t>Active</t>
        </is>
      </c>
      <c r="J32" s="14">
        <v>46078</v>
      </c>
      <c r="K32" s="14">
        <v>46106</v>
      </c>
    </row>
    <row r="33" ht="34.7" customHeight="1">
      <c r="A33" s="8" t="inlineStr">
        <is>
          <t>AST-022</t>
        </is>
      </c>
      <c r="B33" s="8" t="inlineStr">
        <is>
          <t>SIEM / log management platform</t>
        </is>
      </c>
      <c r="C33" s="8" t="inlineStr">
        <is>
          <t>Software</t>
        </is>
      </c>
      <c r="D33" s="8" t="inlineStr">
        <is>
          <t>Log management platform</t>
        </is>
      </c>
      <c r="E33" s="8" t="inlineStr">
        <is>
          <t>Vendor-managed</t>
        </is>
      </c>
      <c r="F33" s="8" t="inlineStr">
        <is>
          <t>Information Security Analyst</t>
        </is>
      </c>
      <c r="G33" s="8" t="inlineStr">
        <is>
          <t>Center A data hall</t>
        </is>
      </c>
      <c r="H33" s="8" t="inlineStr">
        <is>
          <t>Security VLAN</t>
        </is>
      </c>
      <c r="I33" s="8" t="inlineStr">
        <is>
          <t>Active</t>
        </is>
      </c>
      <c r="J33" s="14">
        <v>46078</v>
      </c>
      <c r="K33" s="14">
        <v>46101</v>
      </c>
    </row>
    <row r="34" ht="15" customHeight="1"/>
    <row r="35" ht="15" customHeight="1">
      <c r="A35" s="6" t="inlineStr">
        <is>
          <t>Register B: Endpoint Detail View</t>
        </is>
      </c>
    </row>
    <row r="36" ht="42" customHeight="1">
      <c r="A36" s="7" t="inlineStr">
        <is>
          <t>Endpoint ID</t>
        </is>
      </c>
      <c r="B36" s="7" t="inlineStr">
        <is>
          <t>Device Type</t>
        </is>
      </c>
      <c r="C36" s="7" t="inlineStr">
        <is>
          <t>OS &amp; Version</t>
        </is>
      </c>
      <c r="D36" s="7" t="inlineStr">
        <is>
          <t>Patch Level / Last Patched</t>
        </is>
      </c>
      <c r="E36" s="7" t="inlineStr">
        <is>
          <t>Endpoint Security Agent</t>
        </is>
      </c>
      <c r="F36" s="7" t="inlineStr">
        <is>
          <t>Last Seen / Check-in</t>
        </is>
      </c>
      <c r="G36" s="7" t="inlineStr">
        <is>
          <t>Owner (Role)</t>
        </is>
      </c>
    </row>
    <row r="37" ht="34.7" customHeight="1">
      <c r="A37" s="8" t="inlineStr">
        <is>
          <t>AST-001</t>
        </is>
      </c>
      <c r="B37" s="8" t="inlineStr">
        <is>
          <t>Server</t>
        </is>
      </c>
      <c r="C37" s="8" t="inlineStr">
        <is>
          <t>Server OS, current supported build</t>
        </is>
      </c>
      <c r="D37" s="8" t="inlineStr">
        <is>
          <t>Current / 2026-02-18</t>
        </is>
      </c>
      <c r="E37" s="8" t="inlineStr">
        <is>
          <t>EDR agent (managed)</t>
        </is>
      </c>
      <c r="F37" s="14">
        <v>46078</v>
      </c>
      <c r="G37" s="8" t="inlineStr">
        <is>
          <t>IT Operations Lead</t>
        </is>
      </c>
    </row>
    <row r="38" ht="34.7" customHeight="1">
      <c r="A38" s="8" t="inlineStr">
        <is>
          <t>AST-002</t>
        </is>
      </c>
      <c r="B38" s="8" t="inlineStr">
        <is>
          <t>Server</t>
        </is>
      </c>
      <c r="C38" s="8" t="inlineStr">
        <is>
          <t>Server OS, current supported build</t>
        </is>
      </c>
      <c r="D38" s="8" t="inlineStr">
        <is>
          <t>Current / 2026-02-18</t>
        </is>
      </c>
      <c r="E38" s="8" t="inlineStr">
        <is>
          <t>EDR agent (managed)</t>
        </is>
      </c>
      <c r="F38" s="14">
        <v>46078</v>
      </c>
      <c r="G38" s="8" t="inlineStr">
        <is>
          <t>IT Operations Lead</t>
        </is>
      </c>
    </row>
    <row r="39" ht="34.7" customHeight="1">
      <c r="A39" s="8" t="inlineStr">
        <is>
          <t>AST-004</t>
        </is>
      </c>
      <c r="B39" s="8" t="inlineStr">
        <is>
          <t>Server</t>
        </is>
      </c>
      <c r="C39" s="8" t="inlineStr">
        <is>
          <t>Server OS, current supported build</t>
        </is>
      </c>
      <c r="D39" s="8" t="inlineStr">
        <is>
          <t>Current / 2026-02-18</t>
        </is>
      </c>
      <c r="E39" s="8" t="inlineStr">
        <is>
          <t>EDR agent (managed)</t>
        </is>
      </c>
      <c r="F39" s="14">
        <v>46078</v>
      </c>
      <c r="G39" s="8" t="inlineStr">
        <is>
          <t>IT Operations Lead</t>
        </is>
      </c>
    </row>
    <row r="40" ht="34.7" customHeight="1">
      <c r="A40" s="8" t="inlineStr">
        <is>
          <t>AST-005</t>
        </is>
      </c>
      <c r="B40" s="8" t="inlineStr">
        <is>
          <t>Server</t>
        </is>
      </c>
      <c r="C40" s="8" t="inlineStr">
        <is>
          <t>Server OS, current supported build</t>
        </is>
      </c>
      <c r="D40" s="8" t="inlineStr">
        <is>
          <t>Current / 2026-02-18</t>
        </is>
      </c>
      <c r="E40" s="8" t="inlineStr">
        <is>
          <t>EDR agent (managed)</t>
        </is>
      </c>
      <c r="F40" s="14">
        <v>46078</v>
      </c>
      <c r="G40" s="8" t="inlineStr">
        <is>
          <t>IT Operations Lead</t>
        </is>
      </c>
    </row>
    <row r="41" ht="34.7" customHeight="1">
      <c r="A41" s="8" t="inlineStr">
        <is>
          <t>AST-006</t>
        </is>
      </c>
      <c r="B41" s="8" t="inlineStr">
        <is>
          <t>Server</t>
        </is>
      </c>
      <c r="C41" s="8" t="inlineStr">
        <is>
          <t>Server OS, current supported build</t>
        </is>
      </c>
      <c r="D41" s="8" t="inlineStr">
        <is>
          <t>Current / 2026-02-18</t>
        </is>
      </c>
      <c r="E41" s="8" t="inlineStr">
        <is>
          <t>EDR agent (managed)</t>
        </is>
      </c>
      <c r="F41" s="14">
        <v>46078</v>
      </c>
      <c r="G41" s="8" t="inlineStr">
        <is>
          <t>Information Security Analyst</t>
        </is>
      </c>
    </row>
    <row r="42" ht="50.5" customHeight="1">
      <c r="A42" s="8" t="inlineStr">
        <is>
          <t>AST-009</t>
        </is>
      </c>
      <c r="B42" s="8" t="inlineStr">
        <is>
          <t>Workstation</t>
        </is>
      </c>
      <c r="C42" s="8" t="inlineStr">
        <is>
          <t>Workstation OS, current supported build</t>
        </is>
      </c>
      <c r="D42" s="8" t="inlineStr">
        <is>
          <t>Current / 2026-02-18</t>
        </is>
      </c>
      <c r="E42" s="8" t="inlineStr">
        <is>
          <t>EDR agent (managed)</t>
        </is>
      </c>
      <c r="F42" s="14">
        <v>46078</v>
      </c>
      <c r="G42" s="8" t="inlineStr">
        <is>
          <t>IT Operations Lead</t>
        </is>
      </c>
    </row>
    <row r="43" ht="50.5" customHeight="1">
      <c r="A43" s="8" t="inlineStr">
        <is>
          <t>AST-010</t>
        </is>
      </c>
      <c r="B43" s="8" t="inlineStr">
        <is>
          <t>Workstation</t>
        </is>
      </c>
      <c r="C43" s="8" t="inlineStr">
        <is>
          <t>Workstation OS, current supported build</t>
        </is>
      </c>
      <c r="D43" s="8" t="inlineStr">
        <is>
          <t>Current / 2026-02-18</t>
        </is>
      </c>
      <c r="E43" s="8" t="inlineStr">
        <is>
          <t>EDR agent (managed)</t>
        </is>
      </c>
      <c r="F43" s="14">
        <v>46078</v>
      </c>
      <c r="G43" s="8" t="inlineStr">
        <is>
          <t>IT Operations Lead</t>
        </is>
      </c>
    </row>
    <row r="44" ht="50.5" customHeight="1">
      <c r="A44" s="8" t="inlineStr">
        <is>
          <t>AST-011</t>
        </is>
      </c>
      <c r="B44" s="8" t="inlineStr">
        <is>
          <t>Workstation</t>
        </is>
      </c>
      <c r="C44" s="8" t="inlineStr">
        <is>
          <t>Workstation OS, current supported build</t>
        </is>
      </c>
      <c r="D44" s="8" t="inlineStr">
        <is>
          <t>Current / 2026-02-18</t>
        </is>
      </c>
      <c r="E44" s="8" t="inlineStr">
        <is>
          <t>EDR agent (managed)</t>
        </is>
      </c>
      <c r="F44" s="14">
        <v>46078</v>
      </c>
      <c r="G44" s="8" t="inlineStr">
        <is>
          <t>IT Operations Lead</t>
        </is>
      </c>
    </row>
    <row r="45" ht="50.5" customHeight="1">
      <c r="A45" s="8" t="inlineStr">
        <is>
          <t>AST-012</t>
        </is>
      </c>
      <c r="B45" s="8" t="inlineStr">
        <is>
          <t>Workstation</t>
        </is>
      </c>
      <c r="C45" s="8" t="inlineStr">
        <is>
          <t>Workstation OS, current supported build</t>
        </is>
      </c>
      <c r="D45" s="8" t="inlineStr">
        <is>
          <t>Current / 2026-02-18</t>
        </is>
      </c>
      <c r="E45" s="8" t="inlineStr">
        <is>
          <t>EDR agent (managed)</t>
        </is>
      </c>
      <c r="F45" s="14">
        <v>46078</v>
      </c>
      <c r="G45" s="8" t="inlineStr">
        <is>
          <t>IT Operations Lead</t>
        </is>
      </c>
    </row>
    <row r="46" ht="50.5" customHeight="1">
      <c r="A46" s="8" t="inlineStr">
        <is>
          <t>AST-013</t>
        </is>
      </c>
      <c r="B46" s="8" t="inlineStr">
        <is>
          <t>Workstation</t>
        </is>
      </c>
      <c r="C46" s="8" t="inlineStr">
        <is>
          <t>Workstation OS, current supported build</t>
        </is>
      </c>
      <c r="D46" s="8" t="inlineStr">
        <is>
          <t>Current / 2026-02-18</t>
        </is>
      </c>
      <c r="E46" s="8" t="inlineStr">
        <is>
          <t>EDR agent (managed)</t>
        </is>
      </c>
      <c r="F46" s="14">
        <v>46078</v>
      </c>
      <c r="G46" s="8" t="inlineStr">
        <is>
          <t>IT Operations Lead</t>
        </is>
      </c>
    </row>
    <row r="47" ht="50.5" customHeight="1">
      <c r="A47" s="8" t="inlineStr">
        <is>
          <t>AST-014</t>
        </is>
      </c>
      <c r="B47" s="8" t="inlineStr">
        <is>
          <t>Workstation</t>
        </is>
      </c>
      <c r="C47" s="8" t="inlineStr">
        <is>
          <t>Workstation OS, current supported build</t>
        </is>
      </c>
      <c r="D47" s="8" t="inlineStr">
        <is>
          <t>Current / 2026-02-18</t>
        </is>
      </c>
      <c r="E47" s="8" t="inlineStr">
        <is>
          <t>EDR agent (managed)</t>
        </is>
      </c>
      <c r="F47" s="14">
        <v>46078</v>
      </c>
      <c r="G47" s="8" t="inlineStr">
        <is>
          <t>IT Operations Lead</t>
        </is>
      </c>
    </row>
    <row r="48" ht="50.5" customHeight="1">
      <c r="A48" s="8" t="inlineStr">
        <is>
          <t>AST-015</t>
        </is>
      </c>
      <c r="B48" s="8" t="inlineStr">
        <is>
          <t>Workstation</t>
        </is>
      </c>
      <c r="C48" s="8" t="inlineStr">
        <is>
          <t>Workstation OS, current supported build</t>
        </is>
      </c>
      <c r="D48" s="8" t="inlineStr">
        <is>
          <t>Current / 2026-02-18</t>
        </is>
      </c>
      <c r="E48" s="8" t="inlineStr">
        <is>
          <t>EDR agent (managed)</t>
        </is>
      </c>
      <c r="F48" s="14">
        <v>46078</v>
      </c>
      <c r="G48" s="8" t="inlineStr">
        <is>
          <t>IT Operations Lead</t>
        </is>
      </c>
    </row>
    <row r="49" ht="15" customHeight="1"/>
    <row r="50" ht="15" customHeight="1">
      <c r="A50" s="6" t="inlineStr">
        <is>
          <t>Summary (as of 2026-03-21)</t>
        </is>
      </c>
    </row>
    <row r="51" ht="15" customHeight="1">
      <c r="A51" s="9" t="inlineStr">
        <is>
          <t>Total assets</t>
        </is>
      </c>
      <c r="C51" s="10">
        <f>COUNTA(A12:A33)</f>
      </c>
    </row>
    <row r="52" ht="15" customHeight="1">
      <c r="A52" s="9" t="inlineStr">
        <is>
          <t>Active</t>
        </is>
      </c>
      <c r="C52" s="10">
        <f>COUNTIF(I12:I33,"Active")</f>
      </c>
    </row>
    <row r="53" ht="15" customHeight="1">
      <c r="A53" s="9" t="inlineStr">
        <is>
          <t>Under review</t>
        </is>
      </c>
      <c r="C53" s="10">
        <f>COUNTIF(I12:I33,"Under Review")</f>
      </c>
    </row>
    <row r="54" ht="15" customHeight="1">
      <c r="A54" s="9" t="inlineStr">
        <is>
          <t>Retired</t>
        </is>
      </c>
      <c r="C54" s="10">
        <f>COUNTIF(I12:I33,"Retired")</f>
      </c>
    </row>
    <row r="55" ht="15" customHeight="1">
      <c r="A55" s="9" t="inlineStr">
        <is>
          <t>Decommissioned</t>
        </is>
      </c>
      <c r="C55" s="10">
        <f>COUNTIF(I12:I33,"Decommissioned")</f>
      </c>
    </row>
    <row r="56" ht="15" customHeight="1">
      <c r="A56" s="9" t="inlineStr">
        <is>
          <t>Past due for review</t>
        </is>
      </c>
      <c r="C56" s="10">
        <f>COUNTIF(K12:K33,"&lt;"&amp;DATE(2026,3,21))</f>
      </c>
    </row>
    <row r="57" ht="15" customHeight="1"/>
    <row r="58" ht="15" customHeight="1">
      <c r="A58" s="6" t="inlineStr">
        <is>
          <t>Downstream Use</t>
        </is>
      </c>
    </row>
    <row r="59" ht="30" customHeight="1">
      <c r="A59" s="11" t="inlineStr">
        <is>
          <t>This inventory feeds the Asset Criticality Ranking Matrix, backup scope, logging scope, and encryption decisions. Downstream artifacts inherit its accuracy, so it is kept current.</t>
        </is>
      </c>
    </row>
    <row r="60" ht="15" customHeight="1"/>
    <row r="61" ht="15" customHeight="1">
      <c r="A61" s="6" t="inlineStr">
        <is>
          <t>Source Authority</t>
        </is>
      </c>
    </row>
    <row r="62" ht="15" customHeight="1">
      <c r="A62" s="11" t="inlineStr">
        <is>
          <t>NENA-STA-040.2-2024: §5.4, §5.5</t>
        </is>
      </c>
    </row>
    <row r="63" ht="15" customHeight="1">
      <c r="A63" s="11" t="inlineStr">
        <is>
          <t>NIST SP 800-53 Rev. 5: CM-8, PM-5, SI-2, SI-3</t>
        </is>
      </c>
    </row>
    <row r="64" ht="15" customHeight="1"/>
    <row r="65" ht="15" customHeight="1">
      <c r="A65" s="6" t="inlineStr">
        <is>
          <t>Approval Signatures</t>
        </is>
      </c>
    </row>
    <row r="66" ht="17" customHeight="1">
      <c r="A66" s="7" t="inlineStr">
        <is>
          <t>Role</t>
        </is>
      </c>
      <c r="B66" s="7" t="inlineStr">
        <is>
          <t>Name</t>
        </is>
      </c>
      <c r="C66" s="7" t="inlineStr">
        <is>
          <t>Signature</t>
        </is>
      </c>
      <c r="D66" s="7" t="inlineStr">
        <is>
          <t>Date</t>
        </is>
      </c>
    </row>
    <row r="67" ht="26" customHeight="1">
      <c r="A67" s="12" t="inlineStr">
        <is>
          <t>Director</t>
        </is>
      </c>
      <c r="B67" s="12" t="inlineStr">
        <is>
          <t>Dr. Lisa Park</t>
        </is>
      </c>
      <c r="C67" s="13" t="inlineStr">
        <is>
          <t>Dr. Lisa Park</t>
        </is>
      </c>
      <c r="D67" s="15">
        <v>46082</v>
      </c>
    </row>
    <row r="68" ht="26" customHeight="1">
      <c r="A68" s="12" t="inlineStr">
        <is>
          <t>IT Operations Lead</t>
        </is>
      </c>
      <c r="B68" s="12" t="inlineStr">
        <is>
          <t>(on file)</t>
        </is>
      </c>
      <c r="C68" s="13" t="inlineStr">
        <is>
          <t>(on file)</t>
        </is>
      </c>
      <c r="D68" s="15">
        <v>46082</v>
      </c>
    </row>
    <row r="69" ht="15" customHeight="1"/>
    <row r="70" ht="15" customHeight="1">
      <c r="A70" s="6" t="inlineStr">
        <is>
          <t>Revision History</t>
        </is>
      </c>
    </row>
    <row r="71" ht="17" customHeight="1">
      <c r="A71" s="7" t="inlineStr">
        <is>
          <t>Version</t>
        </is>
      </c>
      <c r="B71" s="7" t="inlineStr">
        <is>
          <t>Date</t>
        </is>
      </c>
      <c r="C71" s="7" t="inlineStr">
        <is>
          <t>Author</t>
        </is>
      </c>
      <c r="D71" s="7" t="inlineStr">
        <is>
          <t>Summary of Change</t>
        </is>
      </c>
    </row>
    <row r="72" ht="17" customHeight="1">
      <c r="A72" s="8" t="inlineStr">
        <is>
          <t>3.0</t>
        </is>
      </c>
      <c r="B72" s="14">
        <v>45992</v>
      </c>
      <c r="C72" s="8" t="inlineStr">
        <is>
          <t>IT Operations Lead</t>
        </is>
      </c>
      <c r="D72" s="8" t="inlineStr">
        <is>
          <t>Annual review</t>
        </is>
      </c>
    </row>
    <row r="73" ht="66.4" customHeight="1">
      <c r="A73" s="8" t="inlineStr">
        <is>
          <t>3.1</t>
        </is>
      </c>
      <c r="B73" s="14">
        <v>46082</v>
      </c>
      <c r="C73" s="8" t="inlineStr">
        <is>
          <t>IT Operations Lead</t>
        </is>
      </c>
      <c r="D73" s="8" t="inlineStr">
        <is>
          <t>Added Center B integration servers; reconciled discovery scan</t>
        </is>
      </c>
    </row>
  </sheetData>
  <mergeCells count="22">
    <mergeCell ref="A58:K58"/>
    <mergeCell ref="C1:K1"/>
    <mergeCell ref="A59:K59"/>
    <mergeCell ref="A6:B6"/>
    <mergeCell ref="A70:K70"/>
    <mergeCell ref="A61:K61"/>
    <mergeCell ref="A7:B7"/>
    <mergeCell ref="A65:K65"/>
    <mergeCell ref="C8:K8"/>
    <mergeCell ref="C7:K7"/>
    <mergeCell ref="A50:K50"/>
    <mergeCell ref="A5:B5"/>
    <mergeCell ref="A2:K2"/>
    <mergeCell ref="A8:B8"/>
    <mergeCell ref="C6:K6"/>
    <mergeCell ref="A4:B4"/>
    <mergeCell ref="A35:K35"/>
    <mergeCell ref="A62:K62"/>
    <mergeCell ref="C5:K5"/>
    <mergeCell ref="A63:K63"/>
    <mergeCell ref="A10:K10"/>
    <mergeCell ref="C4:K4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2026-06-03T20:26:36Z</dcterms:created>
  <dcterms:modified xmlns:dcterms="http://purl.org/dc/terms/" xmlns:xsi="http://www.w3.org/2001/XMLSchema-instance" xsi:type="dcterms:W3CDTF">2026-06-03T20:26:36Z</dcterms:modified>
  <dc:title xmlns:dc="http://purl.org/dc/elements/1.1/">Master Asset Inventory - EXAMPLE - L</dc:title>
  <cp:lastModifiedBy/>
</cp:coreProperties>
</file>
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20" yWindow="780" windowWidth="29920" windowHeight="20380" tabRatio="500" firstSheet="0" autoFilterDateGrouping="1"/>
  </bookViews>
  <sheets>
    <sheet xmlns:r="http://schemas.openxmlformats.org/officeDocument/2006/relationships" name="Register" sheetId="1" state="visible" r:id="rId1"/>
  </sheets>
  <definedNames>
    <definedName name="_xlnm.Print_Titles" localSheetId="0">Register!$11:$11</definedName>
  </definedNam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1">
    <font>
      <name val="Aptos"/>
      <charset val="1"/>
      <family val="2"/>
      <color theme="1"/>
      <sz val="11"/>
    </font>
    <font>
      <name val="Aptos"/>
      <b val="1"/>
      <color rgb="FFFFFFFF"/>
      <sz val="16"/>
    </font>
    <font>
      <name val="Aptos"/>
      <i val="1"/>
      <color rgb="FF595959"/>
      <sz val="12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color rgb="FFFFFFFF"/>
      <sz val="12"/>
    </font>
    <font>
      <name val="Aptos"/>
      <i val="1"/>
      <color rgb="FF595959"/>
      <sz val="11"/>
    </font>
    <font>
      <name val="Aptos"/>
      <b val="1"/>
      <color rgb="FF000000"/>
      <sz val="12"/>
    </font>
    <font>
      <name val="Aptos"/>
      <color rgb="FF000000"/>
      <sz val="12"/>
    </font>
  </fonts>
  <fills count="6">
    <fill>
      <patternFill/>
    </fill>
    <fill>
      <patternFill patternType="gray125"/>
    </fill>
    <fill>
      <patternFill patternType="solid">
        <fgColor rgb="FF1B3A5C"/>
        <bgColor rgb="FF333333"/>
      </patternFill>
    </fill>
    <fill>
      <patternFill patternType="solid">
        <fgColor rgb="FFEEF2F7"/>
        <bgColor rgb="FFF4F1E8"/>
      </patternFill>
    </fill>
    <fill>
      <patternFill patternType="solid">
        <fgColor rgb="FFF4F1E8"/>
        <bgColor rgb="FFEEF2F7"/>
      </patternFill>
    </fill>
    <fill>
      <patternFill patternType="solid">
        <fgColor rgb="FF1B3A5C"/>
        <bgColor indexed="64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4" fillId="4" borderId="0" applyAlignment="1" pivotButton="0" quotePrefix="0" xfId="0">
      <alignment horizontal="left" vertical="top" wrapText="1"/>
    </xf>
    <xf numFmtId="0" fontId="2" fillId="4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left" vertical="top" wrapText="1"/>
    </xf>
    <xf numFmtId="0" fontId="4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left" vertical="top" wrapText="1"/>
    </xf>
    <xf numFmtId="0" fontId="2" fillId="0" borderId="0" applyAlignment="1" pivotButton="0" quotePrefix="0" xfId="0">
      <alignment horizontal="left" vertical="top" wrapText="1"/>
    </xf>
    <xf numFmtId="0" fontId="1" fillId="2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6" fillId="0" borderId="2" applyAlignment="1" pivotButton="0" quotePrefix="0" xfId="0">
      <alignment horizontal="left" vertical="center"/>
    </xf>
    <xf numFmtId="0" fontId="0" fillId="2" borderId="1" pivotButton="0" quotePrefix="0" xfId="0"/>
    <xf numFmtId="0" fontId="4" fillId="0" borderId="1" pivotButton="0" quotePrefix="0" xfId="0"/>
    <xf numFmtId="0" fontId="3" fillId="0" borderId="0" pivotButton="0" quotePrefix="0" xfId="0"/>
    <xf numFmtId="0" fontId="6" fillId="0" borderId="1" applyAlignment="1" pivotButton="0" quotePrefix="0" xfId="0">
      <alignment horizontal="left" vertical="top" wrapText="1"/>
    </xf>
    <xf numFmtId="0" fontId="7" fillId="5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left" vertical="top" wrapText="1"/>
    </xf>
    <xf numFmtId="0" fontId="10" fillId="0" borderId="1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6" pivotButton="0" quotePrefix="0" xfId="0"/>
    <xf numFmtId="0" fontId="7" fillId="2" borderId="1" applyAlignment="1" pivotButton="0" quotePrefix="0" xfId="0">
      <alignment horizontal="center" vertical="center" wrapText="1"/>
    </xf>
    <xf numFmtId="0" fontId="0" fillId="0" borderId="2" pivotButton="0" quotePrefix="0" xfId="0"/>
    <xf applyNumberFormat="1" numFmtId="164" fontId="4" fillId="0" borderId="1" applyAlignment="1" pivotButton="0" quotePrefix="0" xfId="0">
      <alignment horizontal="left" vertical="top" wrapText="1"/>
    </xf>
    <xf applyNumberFormat="1" numFmtId="164" fontId="4" fillId="0" borderId="1" pivotButton="0" quotePrefix="0" xfId="0"/>
    <xf applyNumberFormat="1" numFmtId="164" fontId="10" fillId="0" borderId="1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4F1E8"/>
      <rgbColor rgb="FFEEF2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B3A5C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5</row>
      <rowOff>0</rowOff>
    </from>
    <ext cx="3238500" cy="10287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15</row>
      <rowOff>0</rowOff>
    </from>
    <ext cx="3238500" cy="10287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</col>
      <colOff>0</colOff>
      <row>25</row>
      <rowOff>0</rowOff>
    </from>
    <ext cx="3238500" cy="10287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</a:majorFont>
      <a:minorFont>
        <a:latin typeface="Aptos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8"/>
  <sheetViews>
    <sheetView showGridLines="0" tabSelected="1" zoomScaleNormal="100" workbookViewId="0">
      <pane ySplit="11" topLeftCell="A12" activePane="bottomLeft" state="frozen"/>
      <selection pane="bottomLeft" activeCell="A12" sqref="A12"/>
    </sheetView>
  </sheetViews>
  <sheetFormatPr baseColWidth="10" defaultColWidth="8.6640625" defaultRowHeight="15"/>
  <cols>
    <col width="10" customWidth="1" min="1" max="1"/>
    <col width="24" customWidth="1" min="2" max="2"/>
    <col width="12" customWidth="1" min="3" max="3"/>
    <col width="28" customWidth="1" min="4" max="4"/>
    <col width="26" customWidth="1" min="5" max="5"/>
    <col width="28" customWidth="1" min="6" max="7"/>
    <col width="22" customWidth="1" min="7" max="7"/>
    <col width="16" customWidth="1" min="8" max="8"/>
    <col width="13" customWidth="1" min="9" max="9"/>
    <col width="13" customWidth="1" min="10" max="10"/>
  </cols>
  <sheetData>
    <row r="1" ht="25.5" customHeight="1">
      <c r="A1" s="10" t="inlineStr">
        <is>
          <t>Key Inventory &amp; Custody Records</t>
        </is>
      </c>
    </row>
    <row r="2" ht="15" customHeight="1">
      <c r="A2" s="9" t="n"/>
    </row>
    <row r="3" ht="15" customHeight="1">
      <c r="A3" s="8" t="inlineStr">
        <is>
          <t>Authority</t>
        </is>
      </c>
      <c r="B3" s="22" t="n"/>
      <c r="C3" s="7" t="inlineStr">
        <is>
          <t>Adopted by Wabash Valley Communications under the authority of the Director.</t>
        </is>
      </c>
      <c r="D3" s="23" t="n"/>
      <c r="E3" s="23" t="n"/>
      <c r="F3" s="23" t="n"/>
      <c r="G3" s="22" t="n"/>
    </row>
    <row r="4" ht="15" customHeight="1">
      <c r="A4" s="8" t="inlineStr">
        <is>
          <t>Owner</t>
        </is>
      </c>
      <c r="B4" s="22" t="n"/>
      <c r="C4" s="7" t="inlineStr">
        <is>
          <t>Security Coordinator</t>
        </is>
      </c>
      <c r="D4" s="23" t="n"/>
      <c r="E4" s="23" t="n"/>
      <c r="F4" s="23" t="n"/>
      <c r="G4" s="22" t="n"/>
    </row>
    <row r="5" ht="15" customHeight="1">
      <c r="A5" s="8" t="inlineStr">
        <is>
          <t>Version / Dates</t>
        </is>
      </c>
      <c r="B5" s="22" t="n"/>
      <c r="C5" s="7" t="inlineStr">
        <is>
          <t>Version 1.0      Effective Date 2026-03-01      Next Review 2027-03-01</t>
        </is>
      </c>
      <c r="D5" s="23" t="n"/>
      <c r="E5" s="23" t="n"/>
      <c r="F5" s="23" t="n"/>
      <c r="G5" s="22" t="n"/>
    </row>
    <row r="6" ht="43.5" customHeight="1">
      <c r="A6" s="8" t="inlineStr">
        <is>
          <t>Classification</t>
        </is>
      </c>
      <c r="B6" s="22" t="n"/>
      <c r="C6" s="6" t="inlineStr">
        <is>
          <t>Confidential</t>
        </is>
      </c>
      <c r="D6" s="23" t="n"/>
      <c r="E6" s="23" t="n"/>
      <c r="F6" s="23" t="n"/>
      <c r="G6" s="22" t="n"/>
    </row>
    <row r="7" ht="15" customHeight="1">
      <c r="A7" s="8" t="inlineStr">
        <is>
          <t>Review cadence</t>
        </is>
      </c>
      <c r="B7" s="22" t="n"/>
      <c r="C7" s="7" t="inlineStr">
        <is>
          <t>Reviewed at least quarterly by the Security Coordinator.</t>
        </is>
      </c>
      <c r="D7" s="23" t="n"/>
      <c r="E7" s="23" t="n"/>
      <c r="F7" s="23" t="n"/>
      <c r="G7" s="22" t="n"/>
    </row>
    <row r="8"/>
    <row r="9" ht="15" customHeight="1">
      <c r="A9" s="5" t="inlineStr">
        <is>
          <t>Register Entries</t>
        </is>
      </c>
    </row>
    <row r="10" ht="27.75" customHeight="1">
      <c r="A10" s="9" t="n"/>
    </row>
    <row r="11" ht="50.5" customHeight="1">
      <c r="A11" s="11" t="inlineStr">
        <is>
          <t>Key / Key-Class ID</t>
        </is>
      </c>
      <c r="B11" s="11" t="inlineStr">
        <is>
          <t>Key Type &amp; Purpose</t>
        </is>
      </c>
      <c r="C11" s="11" t="inlineStr">
        <is>
          <t>Systems Protected</t>
        </is>
      </c>
      <c r="D11" s="11" t="inlineStr">
        <is>
          <t>Custodian (Role)</t>
        </is>
      </c>
      <c r="E11" s="11" t="inlineStr">
        <is>
          <t>Backup Custodian (Role)</t>
        </is>
      </c>
      <c r="F11" s="11" t="inlineStr">
        <is>
          <t>Special-Use Flag</t>
        </is>
      </c>
      <c r="G11" s="11" t="inlineStr">
        <is>
          <t>Status</t>
        </is>
      </c>
      <c r="H11" s="24" t="inlineStr">
        <is>
          <t>Last Reviewed</t>
        </is>
      </c>
      <c r="I11" s="24" t="inlineStr">
        <is>
          <t>Next Review Due</t>
        </is>
      </c>
      <c r="J11" s="24" t="inlineStr">
        <is>
          <t>Notes / Escrow Reference</t>
        </is>
      </c>
    </row>
    <row r="12" ht="50.5" customHeight="1">
      <c r="A12" s="12" t="inlineStr">
        <is>
          <t>KEY-01</t>
        </is>
      </c>
      <c r="B12" s="12" t="inlineStr">
        <is>
          <t>Backup encryption key (AES-256)</t>
        </is>
      </c>
      <c r="C12" s="12" t="inlineStr">
        <is>
          <t>Nightly backups, both sites</t>
        </is>
      </c>
      <c r="D12" s="12" t="inlineStr">
        <is>
          <t>Priya Nair (Shared County IT)</t>
        </is>
      </c>
      <c r="E12" s="12" t="inlineStr">
        <is>
          <t>Dana Mercer (Security Coordinator)</t>
        </is>
      </c>
      <c r="F12" s="12" t="inlineStr"/>
      <c r="G12" s="12" t="inlineStr">
        <is>
          <t>Active</t>
        </is>
      </c>
      <c r="H12" s="28">
        <v>46068</v>
      </c>
      <c r="I12" s="28">
        <v>46249</v>
      </c>
      <c r="J12" s="21" t="inlineStr">
        <is>
          <t>Escrowed in the county key vault</t>
        </is>
      </c>
    </row>
    <row r="13" ht="50.5" customHeight="1">
      <c r="A13" s="12" t="inlineStr">
        <is>
          <t>KEY-02</t>
        </is>
      </c>
      <c r="B13" s="12" t="inlineStr">
        <is>
          <t>Database-at-rest key (CAD, Site A)</t>
        </is>
      </c>
      <c r="C13" s="12" t="inlineStr">
        <is>
          <t>CAD database, Site A</t>
        </is>
      </c>
      <c r="D13" s="12" t="inlineStr">
        <is>
          <t>Priya Nair (Shared County IT)</t>
        </is>
      </c>
      <c r="E13" s="12" t="inlineStr">
        <is>
          <t>Dana Mercer (Security Coordinator)</t>
        </is>
      </c>
      <c r="F13" s="12" t="inlineStr"/>
      <c r="G13" s="12" t="inlineStr">
        <is>
          <t>Active</t>
        </is>
      </c>
      <c r="H13" s="28">
        <v>46068</v>
      </c>
      <c r="I13" s="28">
        <v>46249</v>
      </c>
      <c r="J13" s="21" t="inlineStr">
        <is>
          <t>Escrowed in the county key vault</t>
        </is>
      </c>
    </row>
    <row r="14" ht="50.5" customHeight="1">
      <c r="A14" s="12" t="inlineStr">
        <is>
          <t>KEY-03</t>
        </is>
      </c>
      <c r="B14" s="12" t="inlineStr">
        <is>
          <t>Database-at-rest key (CAD, Site B)</t>
        </is>
      </c>
      <c r="C14" s="12" t="inlineStr">
        <is>
          <t>CAD database, Site B</t>
        </is>
      </c>
      <c r="D14" s="12" t="inlineStr">
        <is>
          <t>Priya Nair (Shared County IT)</t>
        </is>
      </c>
      <c r="E14" s="12" t="inlineStr">
        <is>
          <t>Dana Mercer (Security Coordinator)</t>
        </is>
      </c>
      <c r="F14" s="12" t="inlineStr"/>
      <c r="G14" s="12" t="inlineStr">
        <is>
          <t>Active</t>
        </is>
      </c>
      <c r="H14" s="28">
        <v>46068</v>
      </c>
      <c r="I14" s="28">
        <v>46249</v>
      </c>
      <c r="J14" s="21" t="inlineStr">
        <is>
          <t>Escrowed in the county key vault</t>
        </is>
      </c>
    </row>
    <row r="15" ht="50.5" customHeight="1">
      <c r="A15" s="12" t="inlineStr">
        <is>
          <t>KEY-04</t>
        </is>
      </c>
      <c r="B15" s="12" t="inlineStr">
        <is>
          <t>TLS server key (public web)</t>
        </is>
      </c>
      <c r="C15" s="12" t="inlineStr">
        <is>
          <t>Public-facing web</t>
        </is>
      </c>
      <c r="D15" s="12" t="inlineStr">
        <is>
          <t>Priya Nair (Shared County IT)</t>
        </is>
      </c>
      <c r="E15" s="12" t="inlineStr">
        <is>
          <t>Dana Mercer (Security Coordinator)</t>
        </is>
      </c>
      <c r="F15" s="12" t="inlineStr"/>
      <c r="G15" s="12" t="inlineStr">
        <is>
          <t>Active</t>
        </is>
      </c>
      <c r="H15" s="28">
        <v>46068</v>
      </c>
      <c r="I15" s="28">
        <v>46249</v>
      </c>
      <c r="J15" s="21" t="inlineStr">
        <is>
          <t>Escrowed with the web vendor</t>
        </is>
      </c>
    </row>
    <row r="16" ht="50.5" customHeight="1">
      <c r="A16" s="12" t="inlineStr">
        <is>
          <t>KEY-05</t>
        </is>
      </c>
      <c r="B16" s="12" t="inlineStr">
        <is>
          <t>Log-integrity signing key</t>
        </is>
      </c>
      <c r="C16" s="12" t="inlineStr">
        <is>
          <t>SIEM / system logs</t>
        </is>
      </c>
      <c r="D16" s="12" t="inlineStr">
        <is>
          <t>Priya Nair (Shared County IT)</t>
        </is>
      </c>
      <c r="E16" s="12" t="inlineStr">
        <is>
          <t>Dana Mercer (Security Coordinator)</t>
        </is>
      </c>
      <c r="F16" s="12" t="inlineStr">
        <is>
          <t>Log-integrity</t>
        </is>
      </c>
      <c r="G16" s="12" t="inlineStr">
        <is>
          <t>Active</t>
        </is>
      </c>
      <c r="H16" s="28">
        <v>46068</v>
      </c>
      <c r="I16" s="28">
        <v>46172</v>
      </c>
      <c r="J16" s="21" t="inlineStr">
        <is>
          <t>Escrowed in the county key vault</t>
        </is>
      </c>
    </row>
    <row r="17" ht="19.5" customHeight="1">
      <c r="A17" s="12" t="n"/>
      <c r="B17" s="12" t="n"/>
      <c r="C17" s="12" t="n"/>
      <c r="D17" s="12" t="n"/>
      <c r="E17" s="12" t="n"/>
      <c r="F17" s="12" t="n"/>
      <c r="G17" s="12" t="n"/>
      <c r="H17" s="21" t="n"/>
      <c r="I17" s="21" t="n"/>
      <c r="J17" s="21" t="n"/>
    </row>
    <row r="18" ht="19.5" customHeight="1">
      <c r="A18" s="12" t="n"/>
      <c r="B18" s="12" t="n"/>
      <c r="C18" s="12" t="n"/>
      <c r="D18" s="12" t="n"/>
      <c r="E18" s="12" t="n"/>
      <c r="F18" s="12" t="n"/>
      <c r="G18" s="12" t="n"/>
      <c r="H18" s="21" t="n"/>
      <c r="I18" s="21" t="n"/>
      <c r="J18" s="21" t="n"/>
    </row>
    <row r="19" ht="19.5" customHeight="1">
      <c r="A19" s="12" t="n"/>
      <c r="B19" s="12" t="n"/>
      <c r="C19" s="12" t="n"/>
      <c r="D19" s="12" t="n"/>
      <c r="E19" s="12" t="n"/>
      <c r="F19" s="12" t="n"/>
      <c r="G19" s="12" t="n"/>
      <c r="H19" s="21" t="n"/>
      <c r="I19" s="21" t="n"/>
      <c r="J19" s="21" t="n"/>
    </row>
    <row r="20" ht="19.5" customHeight="1">
      <c r="A20" s="12" t="n"/>
      <c r="B20" s="12" t="n"/>
      <c r="C20" s="12" t="n"/>
      <c r="D20" s="12" t="n"/>
      <c r="E20" s="12" t="n"/>
      <c r="F20" s="12" t="n"/>
      <c r="G20" s="12" t="n"/>
      <c r="H20" s="21" t="n"/>
      <c r="I20" s="21" t="n"/>
      <c r="J20" s="21" t="n"/>
    </row>
    <row r="21" ht="19.5" customHeight="1">
      <c r="A21" s="12" t="n"/>
      <c r="B21" s="12" t="n"/>
      <c r="C21" s="12" t="n"/>
      <c r="D21" s="12" t="n"/>
      <c r="E21" s="12" t="n"/>
      <c r="F21" s="12" t="n"/>
      <c r="G21" s="12" t="n"/>
      <c r="H21" s="21" t="n"/>
      <c r="I21" s="21" t="n"/>
      <c r="J21" s="21" t="n"/>
    </row>
    <row r="22"/>
    <row r="23" ht="15" customHeight="1">
      <c r="A23" s="5" t="inlineStr">
        <is>
          <t>Summary (as of 2026-05-31)</t>
        </is>
      </c>
    </row>
    <row r="24" ht="15" customHeight="1">
      <c r="A24" s="4" t="inlineStr">
        <is>
          <t>Total keys / key-classes</t>
        </is>
      </c>
      <c r="B24" s="25" t="n"/>
      <c r="C24" s="13">
        <f>COUNTA(A12:A22)</f>
      </c>
    </row>
    <row r="25" ht="15" customHeight="1">
      <c r="A25" s="4" t="inlineStr">
        <is>
          <t>Active</t>
        </is>
      </c>
      <c r="B25" s="25" t="n"/>
      <c r="C25" s="13">
        <f>COUNTIF(G12:G22,"Active")</f>
      </c>
    </row>
    <row r="26" ht="15" customHeight="1">
      <c r="A26" s="4" t="inlineStr">
        <is>
          <t>Without a backup custodian</t>
        </is>
      </c>
      <c r="B26" s="25" t="n"/>
      <c r="C26" s="13">
        <f>COUNTIFS(A12:A22,"&lt;&gt;",E12:E22,"")</f>
      </c>
    </row>
    <row r="27" ht="15" customHeight="1">
      <c r="A27" s="4" t="inlineStr">
        <is>
          <t>Special-use keys</t>
        </is>
      </c>
      <c r="B27" s="25" t="n"/>
      <c r="C27" s="13">
        <f>COUNTIFS(A12:A22,"&lt;&gt;",F12:F22,"&lt;&gt;")</f>
      </c>
    </row>
    <row r="28" ht="15" customHeight="1">
      <c r="A28" s="4" t="inlineStr">
        <is>
          <t>Retired / superseded</t>
        </is>
      </c>
      <c r="B28" s="25" t="n"/>
      <c r="C28" s="13">
        <f>COUNTIF(G12:G22,"Retired")+COUNTIF(G12:G22,"Superseded")</f>
      </c>
    </row>
    <row r="29" ht="15" customHeight="1">
      <c r="A29" s="4" t="inlineStr">
        <is>
          <t>Past due for review</t>
        </is>
      </c>
      <c r="B29" s="25" t="n"/>
      <c r="C29" s="13">
        <f>SUMPRODUCT((A12:A22&lt;&gt;"")*(I12:I22&lt;&gt;"")*(I12:I22&lt;DATE(2026,5,31)))</f>
      </c>
    </row>
    <row r="30"/>
    <row r="31" ht="15" customHeight="1">
      <c r="A31" s="5" t="inlineStr">
        <is>
          <t>Source Authority</t>
        </is>
      </c>
    </row>
    <row r="32" ht="15" customHeight="1">
      <c r="A32" s="9" t="n"/>
    </row>
    <row r="33" ht="15" customHeight="1">
      <c r="A33" s="3" t="inlineStr">
        <is>
          <t>NENA-STA-040.2-2024: §6.23.2, §6.23.3, §6.23.7</t>
        </is>
      </c>
    </row>
    <row r="34" ht="15" customHeight="1">
      <c r="A34" s="3" t="inlineStr">
        <is>
          <t>NIST SP 800-53 Rev. 5: IA-5, SC-12, SC-17</t>
        </is>
      </c>
    </row>
    <row r="35" ht="15" customHeight="1">
      <c r="A35" s="3" t="n"/>
    </row>
    <row r="36" ht="15" customHeight="1">
      <c r="A36" s="3" t="n"/>
    </row>
    <row r="37"/>
    <row r="38" ht="15" customHeight="1">
      <c r="A38" s="5" t="inlineStr">
        <is>
          <t>Approval Signatures</t>
        </is>
      </c>
    </row>
    <row r="39" ht="17" customHeight="1">
      <c r="A39" s="11" t="inlineStr">
        <is>
          <t>Role</t>
        </is>
      </c>
      <c r="B39" s="11" t="inlineStr">
        <is>
          <t>Name</t>
        </is>
      </c>
      <c r="C39" s="11" t="inlineStr">
        <is>
          <t>Signature</t>
        </is>
      </c>
      <c r="D39" s="11" t="inlineStr">
        <is>
          <t>Date</t>
        </is>
      </c>
      <c r="E39" s="14" t="n"/>
      <c r="F39" s="14" t="n"/>
      <c r="G39" s="14" t="n"/>
    </row>
    <row r="40" ht="51" customHeight="1">
      <c r="A40" s="12" t="inlineStr">
        <is>
          <t>Director</t>
        </is>
      </c>
      <c r="B40" s="15" t="inlineStr">
        <is>
          <t>Anthony Reyes</t>
        </is>
      </c>
      <c r="C40" s="15" t="inlineStr">
        <is>
          <t>/s/ Anthony Reyes</t>
        </is>
      </c>
      <c r="D40" s="27">
        <v>46082</v>
      </c>
    </row>
    <row r="41" ht="34" customHeight="1">
      <c r="A41" s="12" t="inlineStr">
        <is>
          <t>Security Coordinator</t>
        </is>
      </c>
      <c r="B41" s="15" t="inlineStr">
        <is>
          <t>Dana Mercer</t>
        </is>
      </c>
      <c r="C41" s="15" t="inlineStr">
        <is>
          <t>/s/ Dana Mercer</t>
        </is>
      </c>
      <c r="D41" s="27">
        <v>46082</v>
      </c>
    </row>
    <row r="42"/>
    <row r="43" ht="15" customHeight="1">
      <c r="A43" s="5" t="inlineStr">
        <is>
          <t>Revision History</t>
        </is>
      </c>
    </row>
    <row r="44" ht="17" customHeight="1">
      <c r="A44" s="11" t="inlineStr">
        <is>
          <t>Version</t>
        </is>
      </c>
      <c r="B44" s="11" t="inlineStr">
        <is>
          <t>Date</t>
        </is>
      </c>
      <c r="C44" s="11" t="inlineStr">
        <is>
          <t>Author</t>
        </is>
      </c>
      <c r="D44" s="11" t="inlineStr">
        <is>
          <t>Summary of Change</t>
        </is>
      </c>
      <c r="E44" s="14" t="n"/>
      <c r="F44" s="14" t="n"/>
      <c r="G44" s="14" t="n"/>
    </row>
    <row r="45" ht="17" customHeight="1">
      <c r="A45" s="12" t="n">
        <v>1</v>
      </c>
      <c r="B45" s="26">
        <v>46082</v>
      </c>
      <c r="C45" s="12" t="inlineStr">
        <is>
          <t>Priya Nair</t>
        </is>
      </c>
      <c r="D45" s="12" t="inlineStr">
        <is>
          <t>Initial adoption</t>
        </is>
      </c>
      <c r="E45" s="12" t="n"/>
      <c r="F45" s="12" t="n"/>
      <c r="G45" s="12" t="n"/>
    </row>
    <row r="46"/>
    <row r="47">
      <c r="A47"/>
    </row>
    <row r="48"/>
  </sheetData>
  <mergeCells count="29">
    <mergeCell ref="A32:G32"/>
    <mergeCell ref="A24:B24"/>
    <mergeCell ref="C6:G6"/>
    <mergeCell ref="A35:G35"/>
    <mergeCell ref="A38:G38"/>
    <mergeCell ref="C5:G5"/>
    <mergeCell ref="A43:G43"/>
    <mergeCell ref="A6:B6"/>
    <mergeCell ref="A10:G10"/>
    <mergeCell ref="C4:G4"/>
    <mergeCell ref="A9:G9"/>
    <mergeCell ref="A25:B25"/>
    <mergeCell ref="A31:G31"/>
    <mergeCell ref="A7:B7"/>
    <mergeCell ref="A34:G34"/>
    <mergeCell ref="A27:B27"/>
    <mergeCell ref="A3:B3"/>
    <mergeCell ref="A36:G36"/>
    <mergeCell ref="A26:B26"/>
    <mergeCell ref="A1:G1"/>
    <mergeCell ref="A5:B5"/>
    <mergeCell ref="A4:B4"/>
    <mergeCell ref="C7:G7"/>
    <mergeCell ref="A29:B29"/>
    <mergeCell ref="A28:B28"/>
    <mergeCell ref="A2:G2"/>
    <mergeCell ref="A33:G33"/>
    <mergeCell ref="C3:G3"/>
    <mergeCell ref="A23:G23"/>
  </mergeCells>
  <pageMargins left="0.75" right="0.75" top="1" bottom="1" header="0.511811023622047" footer="0.511811023622047"/>
  <pageSetup paperSize="1" orientation="landscape" fitToWidth="1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</Properties>
</file>

<file path=docProps/core.xml><?xml version="1.0" encoding="utf-8"?>
<cp:coreProperties xmlns:cp="http://schemas.openxmlformats.org/package/2006/metadata/core-properties">
  <dc:creator xmlns:dc="http://purl.org/dc/elements/1.1/">911 Authority in partnership with IN911</dc:creator>
  <dc:language xmlns:dc="http://purl.org/dc/elements/1.1/">en-US</dc:language>
  <dcterms:created xmlns:dcterms="http://purl.org/dc/terms/" xmlns:xsi="http://www.w3.org/2001/XMLSchema-instance" xsi:type="dcterms:W3CDTF">2026-06-01T15:16:29Z</dcterms:created>
  <dcterms:modified xmlns:dcterms="http://purl.org/dc/terms/" xmlns:xsi="http://www.w3.org/2001/XMLSchema-instance" xsi:type="dcterms:W3CDTF">2026-07-20T21:16:40Z</dcterms:modified>
  <cp:lastModifiedBy/>
  <cp:revision>0</cp:revision>
  <dc:title xmlns:dc="http://purl.org/dc/elements/1.1/">Key Inventory &amp; Custody Records - EXAMPLE - M</dc:title>
</cp:coreProperties>
</file>
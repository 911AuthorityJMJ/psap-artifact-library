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<sst xmlns="http://schemas.openxmlformats.org/spreadsheetml/2006/main" count="139" uniqueCount="94">
  <si>
    <t xml:space="preserve">Wabash Valley Communications   ·   Worked Example</t>
  </si>
  <si>
    <t xml:space="preserve">Data Inventory / Data Map</t>
  </si>
  <si>
    <t xml:space="preserve">Authority</t>
  </si>
  <si>
    <t xml:space="preserve">Adopted by Wabash Valley Communications under the authority of Anthony Reyes, Director.</t>
  </si>
  <si>
    <t xml:space="preserve">Owner</t>
  </si>
  <si>
    <t xml:space="preserve">Security Coordinator</t>
  </si>
  <si>
    <t xml:space="preserve">Version / Dates</t>
  </si>
  <si>
    <t xml:space="preserve">Version 1.0      Effective Date 2026-03-02      Next Review 2027-03-02</t>
  </si>
  <si>
    <t xml:space="preserve">Classification</t>
  </si>
  <si>
    <t xml:space="preserve">Restricted / CJIS</t>
  </si>
  <si>
    <t xml:space="preserve">Reconciliation cadence</t>
  </si>
  <si>
    <t xml:space="preserve">Reconciled semi-annually by the Security Coordinator;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</si>
  <si>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</si>
  <si>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</si>
  <si>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</si>
  <si>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</si>
  <si>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</si>
  <si>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</si>
  <si>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</si>
  <si>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</si>
  <si>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</si>
  <si>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</si>
  <si>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</si>
  <si>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</si>
  <si>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</si>
  <si>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t>
  </si>
  <si>
    <t xml:space="preserve">Restricted</t>
  </si>
  <si>
    <t xml:space="preserve">TLS in transit; AES-256 at rest</t>
  </si>
  <si>
    <t xml:space="preserve">RBAC; need-to-know</t>
  </si>
  <si>
    <t xml:space="preserve">Data Retention Schedule</t>
  </si>
  <si>
    <t xml:space="preserve">Active</t>
  </si>
  <si>
    <t xml:space="preserve">2026-03-05</t>
  </si>
  <si>
    <t xml:space="preserve">2026-09-05</t>
  </si>
  <si>
    <t xml:space="preserve">DAT-002</t>
  </si>
  <si>
    <t xml:space="preserve">Criminal justice information (CHRI)</t>
  </si>
  <si>
    <t xml:space="preserve">IDACS workstation / query logs</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</si>
  <si>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</si>
  <si>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</si>
  <si>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</si>
  <si>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</si>
  <si>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</si>
  <si>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</si>
  <si>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</si>
  <si>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</si>
  <si>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</si>
  <si>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</si>
  <si>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</si>
  <si>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(primary + redundant)</t>
  </si>
  <si>
    <t xml:space="preserve">RBAC</t>
  </si>
  <si>
    <t xml:space="preserve">DAT-005</t>
  </si>
  <si>
    <t xml:space="preserve">GIS / mapping data</t>
  </si>
  <si>
    <t xml:space="preserve">GIS platform (cloud)</t>
  </si>
  <si>
    <t xml:space="preserve">IT Support Lead</t>
  </si>
  <si>
    <t xml:space="preserve">TLS; provider encryption</t>
  </si>
  <si>
    <t xml:space="preserve">DAT-006</t>
  </si>
  <si>
    <t xml:space="preserve">Text-to-911 media</t>
  </si>
  <si>
    <t xml:space="preserve">ESInet / NGCS</t>
  </si>
  <si>
    <t xml:space="preserve">TLS in transit; encrypted at rest</t>
  </si>
  <si>
    <t xml:space="preserve">Dispatch roles</t>
  </si>
  <si>
    <t xml:space="preserve">DAT-007</t>
  </si>
  <si>
    <t xml:space="preserve">Personnel &amp; screening records</t>
  </si>
  <si>
    <t xml:space="preserve">County HR system</t>
  </si>
  <si>
    <t xml:space="preserve">Confidential</t>
  </si>
  <si>
    <t xml:space="preserve">Director</t>
  </si>
  <si>
    <t xml:space="preserve">HR + director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</si>
  <si>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</si>
  <si>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</si>
  <si>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</si>
  <si>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</si>
  <si>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</si>
  <si>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</si>
  <si>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</si>
  <si>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</si>
  <si>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</si>
  <si>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</si>
  <si>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</si>
  <si>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</si>
  <si>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</si>
  <si>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 Data Breach Notification; 240 IAC 5 —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</si>
  <si>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</si>
  <si>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</si>
  <si>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</si>
  <si>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</si>
  <si>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</si>
  <si>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</si>
  <si>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Anthony Reyes</t>
  </si>
  <si>
    <t xml:space="preserve">2026-03-02</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</si>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</sst>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rial"/>
      <family val="0"/>
    </font>
    <font>
      <sz val="10"/>
      <name val="Arial"/>
      <family val="0"/>
    </font>
    <font>
      <sz val="10"/>
      <name val="Arial"/>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380520</xdr:rowOff>
    </xdr:to>
    <xdr:pic>
      <xdr:nvPicPr>
        <xdr:cNvPr id="3" name="Image 3" descr="Picture"/>
        <xdr:cNvPicPr/>
      </xdr:nvPicPr>
      <xdr:blipFill>
        <a:blip r:embed="rId3"/>
        <a:stretch/>
      </xdr:blipFill>
      <xdr:spPr>
        <a:xfrm>
          <a:off x="704880" y="727704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26</v>
      </c>
      <c r="E16" s="7" t="s">
        <v>52</v>
      </c>
      <c r="F16" s="7" t="s">
        <v>53</v>
      </c>
      <c r="G16" s="7" t="s">
        <v>48</v>
      </c>
      <c r="H16" s="7" t="s">
        <v>29</v>
      </c>
      <c r="I16" s="7" t="s">
        <v>30</v>
      </c>
      <c r="J16" s="7" t="s">
        <v>31</v>
      </c>
      <c r="K16" s="7" t="s">
        <v>32</v>
      </c>
    </row>
    <row r="17" customFormat="false" ht="36" hidden="false" customHeight="true" outlineLevel="0" collapsed="false">
      <c r="A17" s="7" t="s">
        <v>54</v>
      </c>
      <c r="B17" s="7" t="s">
        <v>55</v>
      </c>
      <c r="C17" s="7" t="s">
        <v>56</v>
      </c>
      <c r="D17" s="7" t="s">
        <v>26</v>
      </c>
      <c r="E17" s="7" t="s">
        <v>5</v>
      </c>
      <c r="F17" s="7" t="s">
        <v>57</v>
      </c>
      <c r="G17" s="7" t="s">
        <v>58</v>
      </c>
      <c r="H17" s="7" t="s">
        <v>29</v>
      </c>
      <c r="I17" s="7" t="s">
        <v>30</v>
      </c>
      <c r="J17" s="7" t="s">
        <v>31</v>
      </c>
      <c r="K17" s="7" t="s">
        <v>32</v>
      </c>
    </row>
    <row r="18" customFormat="false" ht="36" hidden="false" customHeight="true" outlineLevel="0" collapsed="false">
      <c r="A18" s="7" t="s">
        <v>59</v>
      </c>
      <c r="B18" s="7" t="s">
        <v>60</v>
      </c>
      <c r="C18" s="7" t="s">
        <v>61</v>
      </c>
      <c r="D18" s="7" t="s">
        <v>62</v>
      </c>
      <c r="E18" s="7" t="s">
        <v>63</v>
      </c>
      <c r="F18" s="7" t="s">
        <v>43</v>
      </c>
      <c r="G18" s="7" t="s">
        <v>64</v>
      </c>
      <c r="H18" s="7" t="s">
        <v>65</v>
      </c>
      <c r="I18" s="7" t="s">
        <v>30</v>
      </c>
      <c r="J18" s="7" t="s">
        <v>31</v>
      </c>
      <c r="K18" s="7" t="s">
        <v>32</v>
      </c>
    </row>
    <row r="20" customFormat="false" ht="15" hidden="false" customHeight="false" outlineLevel="0" collapsed="false">
      <c r="A20" s="5" t="s">
        <v>66</v>
      </c>
      <c r="B20" s="5"/>
      <c r="C20" s="5"/>
      <c r="D20" s="5"/>
      <c r="E20" s="5"/>
      <c r="F20" s="5"/>
      <c r="G20" s="5"/>
      <c r="H20" s="5"/>
      <c r="I20" s="5"/>
      <c r="J20" s="5"/>
      <c r="K20" s="5"/>
    </row>
    <row r="21" customFormat="false" ht="15" hidden="false" customHeight="false" outlineLevel="0" collapsed="false">
      <c r="A21" s="8" t="s">
        <v>67</v>
      </c>
      <c r="C21" s="8" t="n">
        <f aca="false">COUNTA(A12:A18)</f>
        <v>7</v>
      </c>
    </row>
    <row r="22" customFormat="false" ht="15" hidden="false" customHeight="false" outlineLevel="0" collapsed="false">
      <c r="A22" s="8" t="s">
        <v>68</v>
      </c>
      <c r="C22" s="8" t="n">
        <f aca="false">COUNTIF(D12:D18,"*Internal*")</f>
        <v>0</v>
      </c>
    </row>
    <row r="23" customFormat="false" ht="15" hidden="false" customHeight="false" outlineLevel="0" collapsed="false">
      <c r="A23" s="8" t="s">
        <v>26</v>
      </c>
      <c r="C23" s="8" t="n">
        <f aca="false">COUNTIF(D12:D18,"*Restricted*")</f>
        <v>5</v>
      </c>
    </row>
    <row r="24" customFormat="false" ht="15" hidden="false" customHeight="false" outlineLevel="0" collapsed="false">
      <c r="A24" s="8" t="s">
        <v>62</v>
      </c>
      <c r="C24" s="8" t="n">
        <f aca="false">COUNTIF(D12:D18,"*Confidential*")</f>
        <v>2</v>
      </c>
    </row>
    <row r="25" customFormat="false" ht="15" hidden="false" customHeight="false" outlineLevel="0" collapsed="false">
      <c r="A25" s="8" t="s">
        <v>69</v>
      </c>
      <c r="C25" s="8" t="n">
        <f aca="false">COUNTIF(D12:D18,"*CJIS*")</f>
        <v>1</v>
      </c>
    </row>
    <row r="26" customFormat="false" ht="15" hidden="false" customHeight="false" outlineLevel="0" collapsed="false">
      <c r="A26" s="8" t="s">
        <v>70</v>
      </c>
      <c r="C26" s="8" t="n">
        <f aca="true">COUNTIF(K12:K18,"&lt;"&amp;TODAY())</f>
        <v>0</v>
      </c>
    </row>
    <row r="28" customFormat="false" ht="15" hidden="false" customHeight="false" outlineLevel="0" collapsed="false">
      <c r="A28" s="5" t="s">
        <v>71</v>
      </c>
      <c r="B28" s="5"/>
      <c r="C28" s="5"/>
      <c r="D28" s="5"/>
      <c r="E28" s="5"/>
      <c r="F28" s="5"/>
      <c r="G28" s="5"/>
      <c r="H28" s="5"/>
      <c r="I28" s="5"/>
      <c r="J28" s="5"/>
      <c r="K28" s="5"/>
    </row>
    <row r="29" customFormat="false" ht="60" hidden="false" customHeight="true" outlineLevel="0" collapsed="false">
      <c r="A29" s="9" t="s">
        <v>72</v>
      </c>
      <c r="B29" s="9"/>
      <c r="C29" s="9"/>
      <c r="D29" s="9"/>
      <c r="E29" s="9"/>
      <c r="F29" s="9"/>
      <c r="G29" s="9"/>
      <c r="H29" s="9"/>
      <c r="I29" s="9"/>
      <c r="J29" s="9"/>
      <c r="K29" s="9"/>
    </row>
    <row r="31" customFormat="false" ht="15" hidden="false" customHeight="false" outlineLevel="0" collapsed="false">
      <c r="A31" s="5" t="s">
        <v>73</v>
      </c>
      <c r="B31" s="5"/>
      <c r="C31" s="5"/>
      <c r="D31" s="5"/>
      <c r="E31" s="5"/>
      <c r="F31" s="5"/>
      <c r="G31" s="5"/>
      <c r="H31" s="5"/>
      <c r="I31" s="5"/>
      <c r="J31" s="5"/>
      <c r="K31" s="5"/>
    </row>
    <row r="32" customFormat="false" ht="30" hidden="false" customHeight="true" outlineLevel="0" collapsed="false">
      <c r="A32" s="9" t="s">
        <v>74</v>
      </c>
      <c r="B32" s="9"/>
      <c r="C32" s="9"/>
      <c r="D32" s="9"/>
      <c r="E32" s="9"/>
      <c r="F32" s="9"/>
      <c r="G32" s="9"/>
      <c r="H32" s="9"/>
      <c r="I32" s="9"/>
      <c r="J32" s="9"/>
      <c r="K32" s="9"/>
    </row>
    <row r="34" customFormat="false" ht="15" hidden="false" customHeight="false" outlineLevel="0" collapsed="false">
      <c r="A34" s="5" t="s">
        <v>75</v>
      </c>
      <c r="B34" s="5"/>
      <c r="C34" s="5"/>
      <c r="D34" s="5"/>
      <c r="E34" s="5"/>
      <c r="F34" s="5"/>
      <c r="G34" s="5"/>
      <c r="H34" s="5"/>
      <c r="I34" s="5"/>
      <c r="J34" s="5"/>
      <c r="K34" s="5"/>
    </row>
    <row r="35" customFormat="false" ht="15" hidden="false" customHeight="false" outlineLevel="0" collapsed="false">
      <c r="A35" s="10" t="s">
        <v>76</v>
      </c>
      <c r="B35" s="10"/>
      <c r="C35" s="10"/>
      <c r="D35" s="10"/>
      <c r="E35" s="10"/>
      <c r="F35" s="10"/>
      <c r="G35" s="10"/>
      <c r="H35" s="10"/>
      <c r="I35" s="10"/>
      <c r="J35" s="10"/>
      <c r="K35" s="10"/>
    </row>
    <row r="36" customFormat="false" ht="15" hidden="false" customHeight="false" outlineLevel="0" collapsed="false">
      <c r="A36" s="10" t="s">
        <v>77</v>
      </c>
      <c r="B36" s="10"/>
      <c r="C36" s="10"/>
      <c r="D36" s="10"/>
      <c r="E36" s="10"/>
      <c r="F36" s="10"/>
      <c r="G36" s="10"/>
      <c r="H36" s="10"/>
      <c r="I36" s="10"/>
      <c r="J36" s="10"/>
      <c r="K36" s="10"/>
    </row>
    <row r="37" customFormat="false" ht="15" hidden="false" customHeight="false" outlineLevel="0" collapsed="false">
      <c r="A37" s="10" t="s">
        <v>78</v>
      </c>
      <c r="B37" s="10"/>
      <c r="C37" s="10"/>
      <c r="D37" s="10"/>
      <c r="E37" s="10"/>
      <c r="F37" s="10"/>
      <c r="G37" s="10"/>
      <c r="H37" s="10"/>
      <c r="I37" s="10"/>
      <c r="J37" s="10"/>
      <c r="K37" s="10"/>
    </row>
    <row r="38" customFormat="false" ht="15" hidden="false" customHeight="false" outlineLevel="0" collapsed="false">
      <c r="A38" s="10" t="s">
        <v>79</v>
      </c>
      <c r="B38" s="10"/>
      <c r="C38" s="10"/>
      <c r="D38" s="10"/>
      <c r="E38" s="10"/>
      <c r="F38" s="10"/>
      <c r="G38" s="10"/>
      <c r="H38" s="10"/>
      <c r="I38" s="10"/>
      <c r="J38" s="10"/>
      <c r="K38" s="10"/>
    </row>
    <row r="40" customFormat="false" ht="15" hidden="false" customHeight="false" outlineLevel="0" collapsed="false">
      <c r="A40" s="5" t="s">
        <v>80</v>
      </c>
      <c r="B40" s="5"/>
      <c r="C40" s="5"/>
      <c r="D40" s="5"/>
      <c r="E40" s="5"/>
      <c r="F40" s="5"/>
      <c r="G40" s="5"/>
      <c r="H40" s="5"/>
      <c r="I40" s="5"/>
      <c r="J40" s="5"/>
      <c r="K40" s="5"/>
    </row>
    <row r="41" customFormat="false" ht="15" hidden="false" customHeight="false" outlineLevel="0" collapsed="false">
      <c r="A41" s="11" t="s">
        <v>81</v>
      </c>
      <c r="B41" s="11" t="s">
        <v>82</v>
      </c>
      <c r="C41" s="11" t="s">
        <v>83</v>
      </c>
      <c r="D41" s="11" t="s">
        <v>84</v>
      </c>
    </row>
    <row r="42" customFormat="false" ht="25.5" hidden="false" customHeight="true" outlineLevel="0" collapsed="false">
      <c r="A42" s="12" t="s">
        <v>63</v>
      </c>
      <c r="B42" s="12" t="s">
        <v>85</v>
      </c>
      <c r="C42" s="12" t="s">
        <v>85</v>
      </c>
      <c r="D42" s="12" t="s">
        <v>86</v>
      </c>
    </row>
    <row r="43" customFormat="false" ht="25.5" hidden="false" customHeight="true" outlineLevel="0" collapsed="false">
      <c r="A43" s="12" t="s">
        <v>5</v>
      </c>
      <c r="B43" s="12" t="s">
        <v>87</v>
      </c>
      <c r="C43" s="12" t="s">
        <v>87</v>
      </c>
      <c r="D43" s="12" t="s">
        <v>86</v>
      </c>
    </row>
    <row r="45" customFormat="false" ht="15" hidden="false" customHeight="false" outlineLevel="0" collapsed="false">
      <c r="A45" s="5" t="s">
        <v>88</v>
      </c>
      <c r="B45" s="5"/>
      <c r="C45" s="5"/>
      <c r="D45" s="5"/>
      <c r="E45" s="5"/>
      <c r="F45" s="5"/>
      <c r="G45" s="5"/>
      <c r="H45" s="5"/>
      <c r="I45" s="5"/>
      <c r="J45" s="5"/>
      <c r="K45" s="5"/>
    </row>
    <row r="46" customFormat="false" ht="15" hidden="false" customHeight="false" outlineLevel="0" collapsed="false">
      <c r="A46" s="11" t="s">
        <v>89</v>
      </c>
      <c r="B46" s="11" t="s">
        <v>84</v>
      </c>
      <c r="C46" s="11" t="s">
        <v>90</v>
      </c>
      <c r="D46" s="11" t="s">
        <v>91</v>
      </c>
    </row>
    <row r="47" customFormat="false" ht="15" hidden="false" customHeight="false" outlineLevel="0" collapsed="false">
      <c r="A47" s="12" t="s">
        <v>92</v>
      </c>
      <c r="B47" s="12" t="s">
        <v>86</v>
      </c>
      <c r="C47" s="12" t="s">
        <v>5</v>
      </c>
      <c r="D47" s="12" t="s">
        <v>93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20:K20"/>
    <mergeCell ref="A28:K28"/>
    <mergeCell ref="A29:K29"/>
    <mergeCell ref="A31:K31"/>
    <mergeCell ref="A32:K32"/>
    <mergeCell ref="A34:K34"/>
    <mergeCell ref="A35:K35"/>
    <mergeCell ref="A36:K36"/>
    <mergeCell ref="A37:K37"/>
    <mergeCell ref="A38:K38"/>
    <mergeCell ref="A40:K40"/>
    <mergeCell ref="A45:K45"/>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
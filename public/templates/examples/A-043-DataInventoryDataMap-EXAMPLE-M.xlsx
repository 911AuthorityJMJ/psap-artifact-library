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<sst xmlns="http://schemas.openxmlformats.org/spreadsheetml/2006/main" count="139" uniqueCount="94">
  <si>
    <t xml:space="preserve">Wabash Valley Communications   ·   Worked Example</t>
  </si>
  <si>
    <t xml:space="preserve">Data Inventory / Data Map</t>
  </si>
  <si>
    <t xml:space="preserve">Authority</t>
  </si>
  <si>
    <t xml:space="preserve">Adopted by Wabash Valley Communications under the authority of Anthony Reyes, Director.</t>
  </si>
  <si>
    <t xml:space="preserve">Owner</t>
  </si>
  <si>
    <t xml:space="preserve">Security Coordinator</t>
  </si>
  <si>
    <t xml:space="preserve">Version / Dates</t>
  </si>
  <si>
    <t xml:space="preserve">Version 1.0      Effective Date 2026-03-02      Next Review 2027-03-02</t>
  </si>
  <si>
    <t xml:space="preserve">Classification</t>
  </si>
  <si>
    <t xml:space="preserve">Restricted / CJIS</t>
  </si>
  <si>
    <t xml:space="preserve">Reconciliation cadence</t>
  </si>
  <si>
    <t xml:space="preserve">Reconciled semi-annually by the Security Coordinator; entries kept current as systems change.</t>
  </si>
  <si>
    <t xml:space="preserve">Register Entries</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</si>
  <si>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</si>
  <si>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</si>
  <si>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</si>
  <si>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</si>
  <si>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</si>
  <si>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</si>
  <si>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</si>
  <si>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</si>
  <si>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</si>
  <si>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</si>
  <si>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</si>
  <si>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Caller location data (ALI)</t>
  </si>
  <si>
    <t xml:space="preserve">CAD / ESInet</t>
  </si>
  <si>
    <t xml:space="preserve">Restricted</t>
  </si>
  <si>
    <t xml:space="preserve">TLS in transit; AES-256 at rest</t>
  </si>
  <si>
    <t xml:space="preserve">RBAC; need-to-know</t>
  </si>
  <si>
    <t xml:space="preserve">Data Retention Schedule</t>
  </si>
  <si>
    <t xml:space="preserve">Active</t>
  </si>
  <si>
    <t xml:space="preserve">2026-03-05</t>
  </si>
  <si>
    <t xml:space="preserve">2026-09-05</t>
  </si>
  <si>
    <t xml:space="preserve">DAT-002</t>
  </si>
  <si>
    <t xml:space="preserve">Criminal justice information (CHRI)</t>
  </si>
  <si>
    <t xml:space="preserve">IDACS workstation / query logs</t>
  </si>
  <si>
    <t xml:space="preserve">Confidential / CJIS</t>
  </si>
  <si>
    <t xml:space="preserve">FIPS-validated encryption</t>
  </si>
  <si>
    <t xml:space="preserve">IDACS-authorized users only</t>
  </si>
  <si>
    <t xml:space="preserve">Retention per CJIS / IDACS</t>
  </si>
  <si>
    <t xml:space="preserve">DAT-003</t>
  </si>
  <si>
    <t xml:space="preserve">Recorded 911 call audio</t>
  </si>
  <si>
    <t xml:space="preserve">Logging recorder</t>
  </si>
  <si>
    <t xml:space="preserve">Encrypted at rest</t>
  </si>
  <si>
    <t xml:space="preserve">Supervisor + records roles</t>
  </si>
  <si>
    <t xml:space="preserve">DAT-004</t>
  </si>
  <si>
    <t xml:space="preserve">CAD incident records</t>
  </si>
  <si>
    <t xml:space="preserve">CAD (primary + redundant)</t>
  </si>
  <si>
    <t xml:space="preserve">RBAC</t>
  </si>
  <si>
    <t xml:space="preserve">DAT-005</t>
  </si>
  <si>
    <t xml:space="preserve">GIS / mapping data</t>
  </si>
  <si>
    <t xml:space="preserve">GIS platform (cloud)</t>
  </si>
  <si>
    <t xml:space="preserve">IT Support Lead</t>
  </si>
  <si>
    <t xml:space="preserve">TLS; provider encryption</t>
  </si>
  <si>
    <t xml:space="preserve">DAT-006</t>
  </si>
  <si>
    <t xml:space="preserve">Text-to-911 media</t>
  </si>
  <si>
    <t xml:space="preserve">ESInet / NGCS</t>
  </si>
  <si>
    <t xml:space="preserve">TLS in transit; encrypted at rest</t>
  </si>
  <si>
    <t xml:space="preserve">Dispatch roles</t>
  </si>
  <si>
    <t xml:space="preserve">DAT-007</t>
  </si>
  <si>
    <t xml:space="preserve">Personnel &amp; screening records</t>
  </si>
  <si>
    <t xml:space="preserve">County HR system</t>
  </si>
  <si>
    <t xml:space="preserve">Confidential</t>
  </si>
  <si>
    <t xml:space="preserve">Director</t>
  </si>
  <si>
    <t xml:space="preserve">HR + director only</t>
  </si>
  <si>
    <t xml:space="preserve">Per county records retention</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</si>
  <si>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</si>
  <si>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</si>
  <si>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</si>
  <si>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</si>
  <si>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</si>
  <si>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</si>
  <si>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reached through IDACS. CJIS Security Policy v5.9 §5.5 (Access Control) and §5.10 (System and Communications Protection), and 240 IAC 5, apply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</si>
  <si>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</si>
  <si>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t>
  </si>
  <si>
    <t xml:space="preserve">Source Authority</t>
  </si>
  <si>
    <t xml:space="preserve">NENA-STA-040.2-2024: §4.1.4, §4.2.2, §5.4</t>
  </si>
  <si>
    <t xml:space="preserve">NIST SP 800-53 Rev. 5: CM-8, MP-4, PM-5, RA-2, SC-28</t>
  </si>
  <si>
    <t xml:space="preserve">Indiana statutes and administrative code: IC 24-4.9: Data Breach Notification; 240 IAC 5: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</si>
  <si>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</si>
  <si>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</si>
  <si>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</si>
  <si>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</si>
  <si>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</si>
  <si>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</si>
  <si>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Anthony Reyes</t>
  </si>
  <si>
    <t xml:space="preserve">2026-03-02</t>
  </si>
  <si>
    <t xml:space="preserve">(on file)</t>
  </si>
  <si>
    <t xml:space="preserve">Revision History</t>
  </si>
  <si>
    <t xml:space="preserve">Version</t>
  </si>
  <si>
    <t xml:space="preserve">Author</t>
  </si>
  <si>
    <t xml:space="preserve">Summary of Change</t>
  </si>
  <si>
    <t xml:space="preserve">1.0</t>
  </si>
  <si>
    <t xml:space="preserve">Initial issue</t>
  </si>
</sst>
</file>

<file path=xl/styles.xml><?xml version="1.0" encoding="utf-8"?>
<styleSheet xmlns="http://schemas.openxmlformats.org/spreadsheetml/2006/main">
  <numFmts count="1">
    <numFmt numFmtId="164" formatCode="General"/>
  </numFmts>
  <fonts count="8">
    <font>
      <sz val="11"/>
      <color theme="1"/>
      <name val="Aptos"/>
      <family val="2"/>
      <charset val="1"/>
    </font>
    <font>
      <sz val="10"/>
      <name val="Aptos"/>
      <family val="0"/>
    </font>
    <font>
      <sz val="10"/>
      <name val="Aptos"/>
      <family val="0"/>
    </font>
    <font>
      <sz val="10"/>
      <name val="Aptos"/>
      <family val="0"/>
    </font>
    <font>
      <b val="true"/>
      <sz val="12"/>
      <color rgb="FF1B3A5C"/>
      <name val="Aptos"/>
      <family val="0"/>
      <charset val="1"/>
    </font>
    <font>
      <b val="true"/>
      <sz val="16"/>
      <color rgb="FFFFFFFF"/>
      <name val="Aptos"/>
      <family val="0"/>
      <charset val="1"/>
    </font>
    <font>
      <sz val="12"/>
      <color rgb="FF000000"/>
      <name val="Aptos"/>
      <family val="0"/>
      <charset val="1"/>
    </font>
    <font>
      <b val="true"/>
      <sz val="12"/>
      <color rgb="FFFFFFFF"/>
      <name val="Aptos"/>
      <family val="0"/>
      <charset val="1"/>
    </font>
  </fonts>
  <fills count="4">
    <fill>
      <patternFill patternType="none"/>
    </fill>
    <fill>
      <patternFill patternType="gray125"/>
    </fill>
    <fill>
      <patternFill patternType="solid">
        <fgColor rgb="FF1B3A5C"/>
        <bgColor rgb="FF333333"/>
      </patternFill>
    </fill>
    <fill>
      <patternFill patternType="solid">
        <fgColor rgb="FFEEF2F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4"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10</xdr:col>
      <xdr:colOff>0</xdr:colOff>
      <xdr:row>0</xdr:row>
      <xdr:rowOff>0</xdr:rowOff>
    </xdr:from>
    <xdr:ext cx="857250" cy="857250"/>
    <xdr:pic>
      <xdr:nvPicPr>
        <xdr:cNvPr id="1" name="Image 1" descr="Picture"/>
        <xdr:cNvPicPr/>
      </xdr:nvPicPr>
      <xdr:blipFill>
        <a:blip r:embed="rId1"/>
        <a:stretch/>
      </xdr:blipFill>
      <xdr:spPr>
        <a:xfrm>
          <a:off x="0" y="0"/>
          <a:ext cx="552240" cy="552240"/>
        </a:xfrm>
        <a:prstGeom prst="rect">
          <a:avLst/>
        </a:prstGeom>
        <a:noFill/>
        <a:ln w="0">
          <a:noFill/>
        </a:ln>
      </xdr:spPr>
    </xdr:pic>
    <xdr:clientData/>
  </xdr:oneCellAnchor>
  <xdr:twoCellAnchor editAs="oneCell">
    <xdr:from>
      <xdr:col>1</xdr:col>
      <xdr:colOff>0</xdr:colOff>
      <xdr:row>1</xdr:row>
      <xdr:rowOff>0</xdr:rowOff>
    </xdr:from>
    <xdr:to>
      <xdr:col>4</xdr:col>
      <xdr:colOff>491400</xdr:colOff>
      <xdr:row>10</xdr:row>
      <xdr:rowOff>437760</xdr:rowOff>
    </xdr:to>
    <xdr:pic>
      <xdr:nvPicPr>
        <xdr:cNvPr id="2" name="Image 2" descr="Picture"/>
        <xdr:cNvPicPr/>
      </xdr:nvPicPr>
      <xdr:blipFill>
        <a:blip r:embed="rId2"/>
        <a:stretch/>
      </xdr:blipFill>
      <xdr:spPr>
        <a:xfrm>
          <a:off x="704880" y="581040"/>
          <a:ext cx="5143320" cy="3238200"/>
        </a:xfrm>
        <a:prstGeom prst="rect">
          <a:avLst/>
        </a:prstGeom>
        <a:noFill/>
        <a:ln w="0">
          <a:noFill/>
        </a:ln>
      </xdr:spPr>
    </xdr:pic>
    <xdr:clientData/>
  </xdr:twoCellAnchor>
  <xdr:twoCellAnchor editAs="oneCell">
    <xdr:from>
      <xdr:col>1</xdr:col>
      <xdr:colOff>0</xdr:colOff>
      <xdr:row>19</xdr:row>
      <xdr:rowOff>0</xdr:rowOff>
    </xdr:from>
    <xdr:to>
      <xdr:col>4</xdr:col>
      <xdr:colOff>491400</xdr:colOff>
      <xdr:row>31</xdr:row>
      <xdr:rowOff>380520</xdr:rowOff>
    </xdr:to>
    <xdr:pic>
      <xdr:nvPicPr>
        <xdr:cNvPr id="3" name="Image 3" descr="Picture"/>
        <xdr:cNvPicPr/>
      </xdr:nvPicPr>
      <xdr:blipFill>
        <a:blip r:embed="rId3"/>
        <a:stretch/>
      </xdr:blipFill>
      <xdr:spPr>
        <a:xfrm>
          <a:off x="704880" y="7277040"/>
          <a:ext cx="5143320" cy="32382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2"/>
    <col collapsed="false" customWidth="true" hidden="false" outlineLevel="0" max="4" min="4" style="0" width="18"/>
    <col collapsed="false" customWidth="true" hidden="false" outlineLevel="0" max="5" min="5" style="0" width="20"/>
    <col collapsed="false" customWidth="true" hidden="false" outlineLevel="0" max="8" min="6" style="0" width="24"/>
    <col collapsed="false" customWidth="true" hidden="false" outlineLevel="0" max="11" min="9" style="0" width="16"/>
  </cols>
  <sheetData>
    <row r="1" customFormat="false" ht="45.75" hidden="false" customHeight="true" outlineLevel="0" collapsed="false">
      <c r="C1" s="1" t="s">
        <v>0</v>
      </c>
      <c r="D1" s="1"/>
      <c r="E1" s="1"/>
      <c r="F1" s="1"/>
      <c r="G1" s="1"/>
      <c r="H1" s="1"/>
      <c r="I1" s="1"/>
      <c r="J1" s="1"/>
      <c r="K1" s="1"/>
    </row>
    <row r="2" customFormat="false" ht="25.5" hidden="false" customHeight="true" outlineLevel="0" collapsed="false">
      <c r="A2" s="2" t="s">
        <v>1</v>
      </c>
      <c r="B2" s="2"/>
      <c r="C2" s="2"/>
      <c r="D2" s="2"/>
      <c r="E2" s="2"/>
      <c r="F2" s="2"/>
      <c r="G2" s="2"/>
      <c r="H2" s="2"/>
      <c r="I2" s="2"/>
      <c r="J2" s="2"/>
      <c r="K2" s="2"/>
    </row>
    <row r="4" customFormat="false" ht="30" hidden="false" customHeight="true" outlineLevel="0" collapsed="false">
      <c r="A4" s="3" t="s">
        <v>2</v>
      </c>
      <c r="B4" s="3"/>
      <c r="C4" s="4" t="s">
        <v>3</v>
      </c>
      <c r="D4" s="4"/>
      <c r="E4" s="4"/>
      <c r="F4" s="4"/>
      <c r="G4" s="4"/>
      <c r="H4" s="4"/>
      <c r="I4" s="4"/>
      <c r="J4" s="4"/>
      <c r="K4" s="4"/>
    </row>
    <row r="5" customFormat="false" ht="30" hidden="false" customHeight="true" outlineLevel="0" collapsed="false">
      <c r="A5" s="3" t="s">
        <v>4</v>
      </c>
      <c r="B5" s="3"/>
      <c r="C5" s="4" t="s">
        <v>5</v>
      </c>
      <c r="D5" s="4"/>
      <c r="E5" s="4"/>
      <c r="F5" s="4"/>
      <c r="G5" s="4"/>
      <c r="H5" s="4"/>
      <c r="I5" s="4"/>
      <c r="J5" s="4"/>
      <c r="K5" s="4"/>
    </row>
    <row r="6" customFormat="false" ht="30" hidden="false" customHeight="true" outlineLevel="0" collapsed="false">
      <c r="A6" s="3" t="s">
        <v>6</v>
      </c>
      <c r="B6" s="3"/>
      <c r="C6" s="4" t="s">
        <v>7</v>
      </c>
      <c r="D6" s="4"/>
      <c r="E6" s="4"/>
      <c r="F6" s="4"/>
      <c r="G6" s="4"/>
      <c r="H6" s="4"/>
      <c r="I6" s="4"/>
      <c r="J6" s="4"/>
      <c r="K6" s="4"/>
    </row>
    <row r="7" customFormat="false" ht="30" hidden="false" customHeight="true" outlineLevel="0" collapsed="false">
      <c r="A7" s="3" t="s">
        <v>8</v>
      </c>
      <c r="B7" s="3"/>
      <c r="C7" s="4" t="s">
        <v>9</v>
      </c>
      <c r="D7" s="4"/>
      <c r="E7" s="4"/>
      <c r="F7" s="4"/>
      <c r="G7" s="4"/>
      <c r="H7" s="4"/>
      <c r="I7" s="4"/>
      <c r="J7" s="4"/>
      <c r="K7" s="4"/>
    </row>
    <row r="8" customFormat="false" ht="30" hidden="false" customHeight="true" outlineLevel="0" collapsed="false">
      <c r="A8" s="3" t="s">
        <v>10</v>
      </c>
      <c r="B8" s="3"/>
      <c r="C8" s="4" t="s">
        <v>11</v>
      </c>
      <c r="D8" s="4"/>
      <c r="E8" s="4"/>
      <c r="F8" s="4"/>
      <c r="G8" s="4"/>
      <c r="H8" s="4"/>
      <c r="I8" s="4"/>
      <c r="J8" s="4"/>
      <c r="K8" s="4"/>
    </row>
    <row r="10" customFormat="false" ht="15" hidden="false" customHeight="false" outlineLevel="0" collapsed="false">
      <c r="A10" s="5" t="s">
        <v>12</v>
      </c>
      <c r="B10" s="5"/>
      <c r="C10" s="5"/>
      <c r="D10" s="5"/>
      <c r="E10" s="5"/>
      <c r="F10" s="5"/>
      <c r="G10" s="5"/>
      <c r="H10" s="5"/>
      <c r="I10" s="5"/>
      <c r="J10" s="5"/>
      <c r="K10" s="5"/>
    </row>
    <row r="11" customFormat="false" ht="39.75" hidden="false" customHeight="true" outlineLevel="0" collapsed="false">
      <c r="A11" s="6" t="s">
        <v>13</v>
      </c>
      <c r="B11" s="6" t="s">
        <v>14</v>
      </c>
      <c r="C11" s="6" t="s">
        <v>15</v>
      </c>
      <c r="D11" s="6" t="s">
        <v>8</v>
      </c>
      <c r="E11" s="6" t="s">
        <v>16</v>
      </c>
      <c r="F11" s="6" t="s">
        <v>17</v>
      </c>
      <c r="G11" s="6" t="s">
        <v>18</v>
      </c>
      <c r="H11" s="6" t="s">
        <v>19</v>
      </c>
      <c r="I11" s="6" t="s">
        <v>20</v>
      </c>
      <c r="J11" s="6" t="s">
        <v>21</v>
      </c>
      <c r="K11" s="6" t="s">
        <v>22</v>
      </c>
    </row>
    <row r="12" customFormat="false" ht="36" hidden="false" customHeight="true" outlineLevel="0" collapsed="false">
      <c r="A12" s="7" t="s">
        <v>23</v>
      </c>
      <c r="B12" s="7" t="s">
        <v>24</v>
      </c>
      <c r="C12" s="7" t="s">
        <v>25</v>
      </c>
      <c r="D12" s="7" t="s">
        <v>26</v>
      </c>
      <c r="E12" s="7" t="s">
        <v>5</v>
      </c>
      <c r="F12" s="7" t="s">
        <v>27</v>
      </c>
      <c r="G12" s="7" t="s">
        <v>28</v>
      </c>
      <c r="H12" s="7" t="s">
        <v>29</v>
      </c>
      <c r="I12" s="7" t="s">
        <v>30</v>
      </c>
      <c r="J12" s="7" t="s">
        <v>31</v>
      </c>
      <c r="K12" s="7" t="s">
        <v>32</v>
      </c>
    </row>
    <row r="13" customFormat="false" ht="36" hidden="false" customHeight="true" outlineLevel="0" collapsed="false">
      <c r="A13" s="7" t="s">
        <v>33</v>
      </c>
      <c r="B13" s="7" t="s">
        <v>34</v>
      </c>
      <c r="C13" s="7" t="s">
        <v>35</v>
      </c>
      <c r="D13" s="7" t="s">
        <v>36</v>
      </c>
      <c r="E13" s="7" t="s">
        <v>5</v>
      </c>
      <c r="F13" s="7" t="s">
        <v>37</v>
      </c>
      <c r="G13" s="7" t="s">
        <v>38</v>
      </c>
      <c r="H13" s="7" t="s">
        <v>39</v>
      </c>
      <c r="I13" s="7" t="s">
        <v>30</v>
      </c>
      <c r="J13" s="7" t="s">
        <v>31</v>
      </c>
      <c r="K13" s="7" t="s">
        <v>32</v>
      </c>
    </row>
    <row r="14" customFormat="false" ht="36" hidden="false" customHeight="true" outlineLevel="0" collapsed="false">
      <c r="A14" s="7" t="s">
        <v>40</v>
      </c>
      <c r="B14" s="7" t="s">
        <v>41</v>
      </c>
      <c r="C14" s="7" t="s">
        <v>42</v>
      </c>
      <c r="D14" s="7" t="s">
        <v>26</v>
      </c>
      <c r="E14" s="7" t="s">
        <v>5</v>
      </c>
      <c r="F14" s="7" t="s">
        <v>43</v>
      </c>
      <c r="G14" s="7" t="s">
        <v>44</v>
      </c>
      <c r="H14" s="7" t="s">
        <v>29</v>
      </c>
      <c r="I14" s="7" t="s">
        <v>30</v>
      </c>
      <c r="J14" s="7" t="s">
        <v>31</v>
      </c>
      <c r="K14" s="7" t="s">
        <v>32</v>
      </c>
    </row>
    <row r="15" customFormat="false" ht="36" hidden="false" customHeight="true" outlineLevel="0" collapsed="false">
      <c r="A15" s="7" t="s">
        <v>45</v>
      </c>
      <c r="B15" s="7" t="s">
        <v>46</v>
      </c>
      <c r="C15" s="7" t="s">
        <v>47</v>
      </c>
      <c r="D15" s="7" t="s">
        <v>26</v>
      </c>
      <c r="E15" s="7" t="s">
        <v>5</v>
      </c>
      <c r="F15" s="7" t="s">
        <v>43</v>
      </c>
      <c r="G15" s="7" t="s">
        <v>48</v>
      </c>
      <c r="H15" s="7" t="s">
        <v>29</v>
      </c>
      <c r="I15" s="7" t="s">
        <v>30</v>
      </c>
      <c r="J15" s="7" t="s">
        <v>31</v>
      </c>
      <c r="K15" s="7" t="s">
        <v>32</v>
      </c>
    </row>
    <row r="16" customFormat="false" ht="36" hidden="false" customHeight="true" outlineLevel="0" collapsed="false">
      <c r="A16" s="7" t="s">
        <v>49</v>
      </c>
      <c r="B16" s="7" t="s">
        <v>50</v>
      </c>
      <c r="C16" s="7" t="s">
        <v>51</v>
      </c>
      <c r="D16" s="7" t="s">
        <v>26</v>
      </c>
      <c r="E16" s="7" t="s">
        <v>52</v>
      </c>
      <c r="F16" s="7" t="s">
        <v>53</v>
      </c>
      <c r="G16" s="7" t="s">
        <v>48</v>
      </c>
      <c r="H16" s="7" t="s">
        <v>29</v>
      </c>
      <c r="I16" s="7" t="s">
        <v>30</v>
      </c>
      <c r="J16" s="7" t="s">
        <v>31</v>
      </c>
      <c r="K16" s="7" t="s">
        <v>32</v>
      </c>
    </row>
    <row r="17" customFormat="false" ht="36" hidden="false" customHeight="true" outlineLevel="0" collapsed="false">
      <c r="A17" s="7" t="s">
        <v>54</v>
      </c>
      <c r="B17" s="7" t="s">
        <v>55</v>
      </c>
      <c r="C17" s="7" t="s">
        <v>56</v>
      </c>
      <c r="D17" s="7" t="s">
        <v>26</v>
      </c>
      <c r="E17" s="7" t="s">
        <v>5</v>
      </c>
      <c r="F17" s="7" t="s">
        <v>57</v>
      </c>
      <c r="G17" s="7" t="s">
        <v>58</v>
      </c>
      <c r="H17" s="7" t="s">
        <v>29</v>
      </c>
      <c r="I17" s="7" t="s">
        <v>30</v>
      </c>
      <c r="J17" s="7" t="s">
        <v>31</v>
      </c>
      <c r="K17" s="7" t="s">
        <v>32</v>
      </c>
    </row>
    <row r="18" customFormat="false" ht="36" hidden="false" customHeight="true" outlineLevel="0" collapsed="false">
      <c r="A18" s="7" t="s">
        <v>59</v>
      </c>
      <c r="B18" s="7" t="s">
        <v>60</v>
      </c>
      <c r="C18" s="7" t="s">
        <v>61</v>
      </c>
      <c r="D18" s="7" t="s">
        <v>62</v>
      </c>
      <c r="E18" s="7" t="s">
        <v>63</v>
      </c>
      <c r="F18" s="7" t="s">
        <v>43</v>
      </c>
      <c r="G18" s="7" t="s">
        <v>64</v>
      </c>
      <c r="H18" s="7" t="s">
        <v>65</v>
      </c>
      <c r="I18" s="7" t="s">
        <v>30</v>
      </c>
      <c r="J18" s="7" t="s">
        <v>31</v>
      </c>
      <c r="K18" s="7" t="s">
        <v>32</v>
      </c>
    </row>
    <row r="20" customFormat="false" ht="15" hidden="false" customHeight="false" outlineLevel="0" collapsed="false">
      <c r="A20" s="5" t="s">
        <v>66</v>
      </c>
      <c r="B20" s="5"/>
      <c r="C20" s="5"/>
      <c r="D20" s="5"/>
      <c r="E20" s="5"/>
      <c r="F20" s="5"/>
      <c r="G20" s="5"/>
      <c r="H20" s="5"/>
      <c r="I20" s="5"/>
      <c r="J20" s="5"/>
      <c r="K20" s="5"/>
    </row>
    <row r="21" customFormat="false" ht="15" hidden="false" customHeight="false" outlineLevel="0" collapsed="false">
      <c r="A21" s="8" t="s">
        <v>67</v>
      </c>
      <c r="C21" s="8" t="n">
        <f aca="false">COUNTA(A12:A18)</f>
        <v>7</v>
      </c>
    </row>
    <row r="22" customFormat="false" ht="15" hidden="false" customHeight="false" outlineLevel="0" collapsed="false">
      <c r="A22" s="8" t="s">
        <v>68</v>
      </c>
      <c r="C22" s="8" t="n">
        <f aca="false">COUNTIF(D12:D18,"*Internal*")</f>
        <v>0</v>
      </c>
    </row>
    <row r="23" customFormat="false" ht="15" hidden="false" customHeight="false" outlineLevel="0" collapsed="false">
      <c r="A23" s="8" t="s">
        <v>26</v>
      </c>
      <c r="C23" s="8" t="n">
        <f aca="false">COUNTIF(D12:D18,"*Restricted*")</f>
        <v>5</v>
      </c>
    </row>
    <row r="24" customFormat="false" ht="15" hidden="false" customHeight="false" outlineLevel="0" collapsed="false">
      <c r="A24" s="8" t="s">
        <v>62</v>
      </c>
      <c r="C24" s="8" t="n">
        <f aca="false">COUNTIF(D12:D18,"*Confidential*")</f>
        <v>2</v>
      </c>
    </row>
    <row r="25" customFormat="false" ht="15" hidden="false" customHeight="false" outlineLevel="0" collapsed="false">
      <c r="A25" s="8" t="s">
        <v>69</v>
      </c>
      <c r="C25" s="8" t="n">
        <f aca="false">COUNTIF(D12:D18,"*CJIS*")</f>
        <v>1</v>
      </c>
    </row>
    <row r="26" customFormat="false" ht="15" hidden="false" customHeight="false" outlineLevel="0" collapsed="false">
      <c r="A26" s="8" t="s">
        <v>70</v>
      </c>
      <c r="C26" s="8" t="n">
        <f aca="true">COUNTIF(K12:K18,"&lt;"&amp;TODAY())</f>
        <v>0</v>
      </c>
    </row>
    <row r="28" customFormat="false" ht="15" hidden="false" customHeight="false" outlineLevel="0" collapsed="false">
      <c r="A28" s="5" t="s">
        <v>71</v>
      </c>
      <c r="B28" s="5"/>
      <c r="C28" s="5"/>
      <c r="D28" s="5"/>
      <c r="E28" s="5"/>
      <c r="F28" s="5"/>
      <c r="G28" s="5"/>
      <c r="H28" s="5"/>
      <c r="I28" s="5"/>
      <c r="J28" s="5"/>
      <c r="K28" s="5"/>
    </row>
    <row r="29" customFormat="false" ht="60" hidden="false" customHeight="true" outlineLevel="0" collapsed="false">
      <c r="A29" s="9" t="s">
        <v>72</v>
      </c>
      <c r="B29" s="9"/>
      <c r="C29" s="9"/>
      <c r="D29" s="9"/>
      <c r="E29" s="9"/>
      <c r="F29" s="9"/>
      <c r="G29" s="9"/>
      <c r="H29" s="9"/>
      <c r="I29" s="9"/>
      <c r="J29" s="9"/>
      <c r="K29" s="9"/>
    </row>
    <row r="31" customFormat="false" ht="15" hidden="false" customHeight="false" outlineLevel="0" collapsed="false">
      <c r="A31" s="5" t="s">
        <v>73</v>
      </c>
      <c r="B31" s="5"/>
      <c r="C31" s="5"/>
      <c r="D31" s="5"/>
      <c r="E31" s="5"/>
      <c r="F31" s="5"/>
      <c r="G31" s="5"/>
      <c r="H31" s="5"/>
      <c r="I31" s="5"/>
      <c r="J31" s="5"/>
      <c r="K31" s="5"/>
    </row>
    <row r="32" customFormat="false" ht="30" hidden="false" customHeight="true" outlineLevel="0" collapsed="false">
      <c r="A32" s="9" t="s">
        <v>74</v>
      </c>
      <c r="B32" s="9"/>
      <c r="C32" s="9"/>
      <c r="D32" s="9"/>
      <c r="E32" s="9"/>
      <c r="F32" s="9"/>
      <c r="G32" s="9"/>
      <c r="H32" s="9"/>
      <c r="I32" s="9"/>
      <c r="J32" s="9"/>
      <c r="K32" s="9"/>
    </row>
    <row r="34" customFormat="false" ht="15" hidden="false" customHeight="false" outlineLevel="0" collapsed="false">
      <c r="A34" s="5" t="s">
        <v>75</v>
      </c>
      <c r="B34" s="5"/>
      <c r="C34" s="5"/>
      <c r="D34" s="5"/>
      <c r="E34" s="5"/>
      <c r="F34" s="5"/>
      <c r="G34" s="5"/>
      <c r="H34" s="5"/>
      <c r="I34" s="5"/>
      <c r="J34" s="5"/>
      <c r="K34" s="5"/>
    </row>
    <row r="35" customFormat="false" ht="15" hidden="false" customHeight="false" outlineLevel="0" collapsed="false">
      <c r="A35" s="10" t="s">
        <v>76</v>
      </c>
      <c r="B35" s="10"/>
      <c r="C35" s="10"/>
      <c r="D35" s="10"/>
      <c r="E35" s="10"/>
      <c r="F35" s="10"/>
      <c r="G35" s="10"/>
      <c r="H35" s="10"/>
      <c r="I35" s="10"/>
      <c r="J35" s="10"/>
      <c r="K35" s="10"/>
    </row>
    <row r="36" customFormat="false" ht="15" hidden="false" customHeight="false" outlineLevel="0" collapsed="false">
      <c r="A36" s="10" t="s">
        <v>77</v>
      </c>
      <c r="B36" s="10"/>
      <c r="C36" s="10"/>
      <c r="D36" s="10"/>
      <c r="E36" s="10"/>
      <c r="F36" s="10"/>
      <c r="G36" s="10"/>
      <c r="H36" s="10"/>
      <c r="I36" s="10"/>
      <c r="J36" s="10"/>
      <c r="K36" s="10"/>
    </row>
    <row r="37" customFormat="false" ht="15" hidden="false" customHeight="false" outlineLevel="0" collapsed="false">
      <c r="A37" s="10" t="s">
        <v>78</v>
      </c>
      <c r="B37" s="10"/>
      <c r="C37" s="10"/>
      <c r="D37" s="10"/>
      <c r="E37" s="10"/>
      <c r="F37" s="10"/>
      <c r="G37" s="10"/>
      <c r="H37" s="10"/>
      <c r="I37" s="10"/>
      <c r="J37" s="10"/>
      <c r="K37" s="10"/>
    </row>
    <row r="38" customFormat="false" ht="15" hidden="false" customHeight="false" outlineLevel="0" collapsed="false">
      <c r="A38" s="10" t="s">
        <v>79</v>
      </c>
      <c r="B38" s="10"/>
      <c r="C38" s="10"/>
      <c r="D38" s="10"/>
      <c r="E38" s="10"/>
      <c r="F38" s="10"/>
      <c r="G38" s="10"/>
      <c r="H38" s="10"/>
      <c r="I38" s="10"/>
      <c r="J38" s="10"/>
      <c r="K38" s="10"/>
    </row>
    <row r="40" customFormat="false" ht="15" hidden="false" customHeight="false" outlineLevel="0" collapsed="false">
      <c r="A40" s="5" t="s">
        <v>80</v>
      </c>
      <c r="B40" s="5"/>
      <c r="C40" s="5"/>
      <c r="D40" s="5"/>
      <c r="E40" s="5"/>
      <c r="F40" s="5"/>
      <c r="G40" s="5"/>
      <c r="H40" s="5"/>
      <c r="I40" s="5"/>
      <c r="J40" s="5"/>
      <c r="K40" s="5"/>
    </row>
    <row r="41" customFormat="false" ht="15" hidden="false" customHeight="false" outlineLevel="0" collapsed="false">
      <c r="A41" s="11" t="s">
        <v>81</v>
      </c>
      <c r="B41" s="11" t="s">
        <v>82</v>
      </c>
      <c r="C41" s="11" t="s">
        <v>83</v>
      </c>
      <c r="D41" s="11" t="s">
        <v>84</v>
      </c>
    </row>
    <row r="42" customFormat="false" ht="25.5" hidden="false" customHeight="true" outlineLevel="0" collapsed="false">
      <c r="A42" s="12" t="s">
        <v>63</v>
      </c>
      <c r="B42" s="12" t="s">
        <v>85</v>
      </c>
      <c r="C42" s="12" t="s">
        <v>85</v>
      </c>
      <c r="D42" s="12" t="s">
        <v>86</v>
      </c>
    </row>
    <row r="43" customFormat="false" ht="25.5" hidden="false" customHeight="true" outlineLevel="0" collapsed="false">
      <c r="A43" s="12" t="s">
        <v>5</v>
      </c>
      <c r="B43" s="12" t="s">
        <v>87</v>
      </c>
      <c r="C43" s="12" t="s">
        <v>87</v>
      </c>
      <c r="D43" s="12" t="s">
        <v>86</v>
      </c>
    </row>
    <row r="45" customFormat="false" ht="15" hidden="false" customHeight="false" outlineLevel="0" collapsed="false">
      <c r="A45" s="5" t="s">
        <v>88</v>
      </c>
      <c r="B45" s="5"/>
      <c r="C45" s="5"/>
      <c r="D45" s="5"/>
      <c r="E45" s="5"/>
      <c r="F45" s="5"/>
      <c r="G45" s="5"/>
      <c r="H45" s="5"/>
      <c r="I45" s="5"/>
      <c r="J45" s="5"/>
      <c r="K45" s="5"/>
    </row>
    <row r="46" customFormat="false" ht="15" hidden="false" customHeight="false" outlineLevel="0" collapsed="false">
      <c r="A46" s="11" t="s">
        <v>89</v>
      </c>
      <c r="B46" s="11" t="s">
        <v>84</v>
      </c>
      <c r="C46" s="11" t="s">
        <v>90</v>
      </c>
      <c r="D46" s="11" t="s">
        <v>91</v>
      </c>
    </row>
    <row r="47" customFormat="false" ht="15" hidden="false" customHeight="false" outlineLevel="0" collapsed="false">
      <c r="A47" s="12" t="s">
        <v>92</v>
      </c>
      <c r="B47" s="12" t="s">
        <v>86</v>
      </c>
      <c r="C47" s="12" t="s">
        <v>5</v>
      </c>
      <c r="D47" s="12" t="s">
        <v>93</v>
      </c>
    </row>
  </sheetData>
  <mergeCells count="25">
    <mergeCell ref="C1:K1"/>
    <mergeCell ref="A2:K2"/>
    <mergeCell ref="A4:B4"/>
    <mergeCell ref="C4:K4"/>
    <mergeCell ref="A5:B5"/>
    <mergeCell ref="C5:K5"/>
    <mergeCell ref="A6:B6"/>
    <mergeCell ref="C6:K6"/>
    <mergeCell ref="A7:B7"/>
    <mergeCell ref="C7:K7"/>
    <mergeCell ref="A8:B8"/>
    <mergeCell ref="C8:K8"/>
    <mergeCell ref="A10:K10"/>
    <mergeCell ref="A20:K20"/>
    <mergeCell ref="A28:K28"/>
    <mergeCell ref="A29:K29"/>
    <mergeCell ref="A31:K31"/>
    <mergeCell ref="A32:K32"/>
    <mergeCell ref="A34:K34"/>
    <mergeCell ref="A35:K35"/>
    <mergeCell ref="A36:K36"/>
    <mergeCell ref="A37:K37"/>
    <mergeCell ref="A38:K38"/>
    <mergeCell ref="A40:K40"/>
    <mergeCell ref="A45:K4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2026-06-04T20:28:45Z</dcterms:created>
  <dc:creator>openpyxl</dc:creator>
  <dc:description/>
  <dc:language>en-US</dc:language>
  <cp:lastModifiedBy/>
  <dcterms:modified xsi:type="dcterms:W3CDTF">2026-06-04T20:28:45Z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
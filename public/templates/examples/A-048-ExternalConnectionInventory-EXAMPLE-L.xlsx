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External Connections" sheetId="1" state="visible" r:id="rId1"/>
    <sheet xmlns:r="http://schemas.openxmlformats.org/officeDocument/2006/relationships" name="Trust Relationshi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External Connection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Dr. Lisa Park,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2026-01-26      Next Review 2027-01-26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and reconciled at least annually by the Information Security Analyst; entries kept current as connections are added or removed.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30" customHeight="1">
      <c r="A11" s="11" t="inlineStr">
        <is>
          <t>ID</t>
        </is>
      </c>
      <c r="B11" s="11" t="inlineStr">
        <is>
          <t>Connection Type</t>
        </is>
      </c>
      <c r="C11" s="11" t="inlineStr">
        <is>
          <t>Endpoint / Provider</t>
        </is>
      </c>
      <c r="D11" s="11" t="inlineStr">
        <is>
          <t>Business Justification</t>
        </is>
      </c>
      <c r="E11" s="11" t="inlineStr">
        <is>
          <t>Protecting Control</t>
        </is>
      </c>
      <c r="F11" s="11" t="inlineStr">
        <is>
          <t>Monitored? (Y/N + how)</t>
        </is>
      </c>
      <c r="G11" s="11" t="inlineStr">
        <is>
          <t>Owner (Role)</t>
        </is>
      </c>
      <c r="H11" s="24" t="inlineStr">
        <is>
          <t>Last Verified</t>
        </is>
      </c>
    </row>
    <row r="12" ht="19.5" customHeight="1">
      <c r="A12" s="12" t="inlineStr">
        <is>
          <t>EXT-01</t>
        </is>
      </c>
      <c r="B12" s="12" t="inlineStr">
        <is>
          <t>ESInet (Carrier A)</t>
        </is>
      </c>
      <c r="C12" s="12" t="inlineStr">
        <is>
          <t>Carrier A</t>
        </is>
      </c>
      <c r="D12" s="12" t="inlineStr">
        <is>
          <t>NG911 call delivery</t>
        </is>
      </c>
      <c r="E12" s="12" t="inlineStr">
        <is>
          <t>SBC pair + NGFW</t>
        </is>
      </c>
      <c r="F12" s="12" t="inlineStr">
        <is>
          <t>Y – SIEM 24/7</t>
        </is>
      </c>
      <c r="G12" s="12" t="inlineStr">
        <is>
          <t>Information Security Analyst</t>
        </is>
      </c>
      <c r="H12" s="21" t="inlineStr">
        <is>
          <t>2026-01-28</t>
        </is>
      </c>
    </row>
    <row r="13" ht="19.5" customHeight="1">
      <c r="A13" s="12" t="inlineStr">
        <is>
          <t>EXT-02</t>
        </is>
      </c>
      <c r="B13" s="12" t="inlineStr">
        <is>
          <t>ESInet (Carrier B)</t>
        </is>
      </c>
      <c r="C13" s="12" t="inlineStr">
        <is>
          <t>Carrier B</t>
        </is>
      </c>
      <c r="D13" s="12" t="inlineStr">
        <is>
          <t>Redundant NG911 delivery</t>
        </is>
      </c>
      <c r="E13" s="12" t="inlineStr">
        <is>
          <t>SBC pair + NGFW</t>
        </is>
      </c>
      <c r="F13" s="12" t="inlineStr">
        <is>
          <t>Y – SIEM 24/7</t>
        </is>
      </c>
      <c r="G13" s="12" t="inlineStr">
        <is>
          <t>Information Security Analyst</t>
        </is>
      </c>
      <c r="H13" s="21" t="inlineStr">
        <is>
          <t>2026-01-28</t>
        </is>
      </c>
    </row>
    <row r="14" ht="19.5" customHeight="1">
      <c r="A14" s="12" t="inlineStr">
        <is>
          <t>EXT-03</t>
        </is>
      </c>
      <c r="B14" s="12" t="inlineStr">
        <is>
          <t>ISP (diverse)</t>
        </is>
      </c>
      <c r="C14" s="12" t="inlineStr">
        <is>
          <t>Two carriers, diverse paths</t>
        </is>
      </c>
      <c r="D14" s="12" t="inlineStr">
        <is>
          <t>Internet, redundant</t>
        </is>
      </c>
      <c r="E14" s="12" t="inlineStr">
        <is>
          <t>NGFW, default-deny</t>
        </is>
      </c>
      <c r="F14" s="12" t="inlineStr">
        <is>
          <t>Y – SIEM 24/7</t>
        </is>
      </c>
      <c r="G14" s="12" t="inlineStr">
        <is>
          <t>Information Security Analyst</t>
        </is>
      </c>
      <c r="H14" s="21" t="inlineStr">
        <is>
          <t>2026-01-28</t>
        </is>
      </c>
    </row>
    <row r="15" ht="19.5" customHeight="1">
      <c r="A15" s="12" t="inlineStr">
        <is>
          <t>EXT-04</t>
        </is>
      </c>
      <c r="B15" s="12" t="inlineStr">
        <is>
          <t>Cloud services</t>
        </is>
      </c>
      <c r="C15" s="12" t="inlineStr">
        <is>
          <t>GIS, video, analytics SaaS</t>
        </is>
      </c>
      <c r="D15" s="12" t="inlineStr">
        <is>
          <t>Hosted integrations</t>
        </is>
      </c>
      <c r="E15" s="12" t="inlineStr">
        <is>
          <t>TLS + proxy</t>
        </is>
      </c>
      <c r="F15" s="12" t="inlineStr">
        <is>
          <t>Y – SIEM 24/7</t>
        </is>
      </c>
      <c r="G15" s="12" t="inlineStr">
        <is>
          <t>Information Security Analyst</t>
        </is>
      </c>
      <c r="H15" s="21" t="inlineStr">
        <is>
          <t>2026-01-28</t>
        </is>
      </c>
    </row>
    <row r="16" ht="19.5" customHeight="1">
      <c r="A16" s="12" t="inlineStr">
        <is>
          <t>EXT-05</t>
        </is>
      </c>
      <c r="B16" s="12" t="inlineStr">
        <is>
          <t>Cloud backup / DR</t>
        </is>
      </c>
      <c r="C16" s="12" t="inlineStr">
        <is>
          <t>DR provider</t>
        </is>
      </c>
      <c r="D16" s="12" t="inlineStr">
        <is>
          <t>Off-site backup and DR</t>
        </is>
      </c>
      <c r="E16" s="12" t="inlineStr">
        <is>
          <t>TLS, immutable</t>
        </is>
      </c>
      <c r="F16" s="12" t="inlineStr">
        <is>
          <t>Y – SIEM 24/7</t>
        </is>
      </c>
      <c r="G16" s="12" t="inlineStr">
        <is>
          <t>Information Security Analyst</t>
        </is>
      </c>
      <c r="H16" s="21" t="inlineStr">
        <is>
          <t>2026-01-28</t>
        </is>
      </c>
    </row>
    <row r="17" ht="19.5" customHeight="1">
      <c r="A17" s="12" t="inlineStr">
        <is>
          <t>EXT-06</t>
        </is>
      </c>
      <c r="B17" s="12" t="inlineStr">
        <is>
          <t>Vendor VPNs</t>
        </is>
      </c>
      <c r="C17" s="12" t="inlineStr">
        <is>
          <t>Multiple vendors</t>
        </is>
      </c>
      <c r="D17" s="12" t="inlineStr">
        <is>
          <t>Maintenance</t>
        </is>
      </c>
      <c r="E17" s="12" t="inlineStr">
        <is>
          <t>VPN, MFA, time-limited</t>
        </is>
      </c>
      <c r="F17" s="12" t="inlineStr">
        <is>
          <t>Y – SIEM 24/7</t>
        </is>
      </c>
      <c r="G17" s="12" t="inlineStr">
        <is>
          <t>IT team</t>
        </is>
      </c>
      <c r="H17" s="21" t="inlineStr">
        <is>
          <t>2026-01-28</t>
        </is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connections</t>
        </is>
      </c>
      <c r="B24" s="25" t="n"/>
      <c r="C24" s="13">
        <f>COUNTA(A12:A21)</f>
        <v/>
      </c>
    </row>
    <row r="25" ht="15" customHeight="1">
      <c r="A25" s="4" t="inlineStr">
        <is>
          <t>Monitored</t>
        </is>
      </c>
      <c r="B25" s="25" t="n"/>
      <c r="C25" s="13">
        <f>COUNTIF(F12:F21,"Y*")</f>
        <v/>
      </c>
    </row>
    <row r="26" ht="15" customHeight="1">
      <c r="A26" s="4" t="inlineStr">
        <is>
          <t>Not monitored (review)</t>
        </is>
      </c>
      <c r="B26" s="25" t="n"/>
      <c r="C26" s="13">
        <f>COUNTIF(F12:F21,"N*")</f>
        <v/>
      </c>
    </row>
    <row r="27" ht="15" customHeight="1">
      <c r="A27" s="4" t="inlineStr">
        <is>
          <t>Not verified in 12 months</t>
        </is>
      </c>
      <c r="B27" s="25" t="n"/>
      <c r="C27" s="13">
        <f>COUNTIF(H12:H21,"&lt;"&amp;(TODAY()-365))</f>
        <v/>
      </c>
    </row>
    <row r="28" ht="15" customHeight="1">
      <c r="A28" s="4" t="n"/>
      <c r="B28" s="25" t="n"/>
      <c r="C28" s="13" t="n"/>
    </row>
    <row r="29" ht="15" customHeight="1">
      <c r="A29" s="4" t="n"/>
      <c r="B29" s="25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§6.3, §6.11, §6.13, §6.23.2</t>
        </is>
      </c>
    </row>
    <row r="34" ht="15" customHeight="1">
      <c r="A34" s="3" t="inlineStr">
        <is>
          <t>NIST SP 800-53 Rev. 5: AC-20, CA-3, CA-9, IA-9, SA-9, SC-7</t>
        </is>
      </c>
    </row>
    <row r="35" ht="15" customHeight="1">
      <c r="A35" s="3" t="inlineStr">
        <is>
          <t>Indiana statutes and administrative code:</t>
        </is>
      </c>
    </row>
    <row r="36" ht="15" customHeight="1">
      <c r="A36" s="3" t="inlineStr">
        <is>
          <t xml:space="preserve">    IC 36-8-16.7: Statewide 9-1-1 Services (external connectivity)</t>
        </is>
      </c>
    </row>
    <row r="37">
      <c r="A37" t="inlineStr">
        <is>
          <t>CJIS Security Policy v5.9: §5.1  (if an IDACS or other CJIS-regulated interconnection is listed)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Dr. Lisa Park</t>
        </is>
      </c>
      <c r="C40" s="15" t="inlineStr">
        <is>
          <t>/s/ Dr. Lisa Park</t>
        </is>
      </c>
      <c r="D40" s="15" t="inlineStr">
        <is>
          <t>2026-01-26</t>
        </is>
      </c>
    </row>
    <row r="41" ht="34" customHeight="1">
      <c r="A41" s="12" t="inlineStr">
        <is>
          <t>Information Security Analyst</t>
        </is>
      </c>
      <c r="B41" s="15" t="inlineStr">
        <is>
          <t>Raymond Osei</t>
        </is>
      </c>
      <c r="C41" s="15" t="inlineStr">
        <is>
          <t>/s/ Raymond Osei</t>
        </is>
      </c>
      <c r="D41" s="15" t="inlineStr">
        <is>
          <t>2026-01-26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</t>
        </is>
      </c>
      <c r="B45" s="12" t="inlineStr">
        <is>
          <t>2026-01-26</t>
        </is>
      </c>
      <c r="C45" s="12" t="inlineStr">
        <is>
          <t>Raymond Osei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 ht="30" customHeight="1">
      <c r="A47" s="2" t="n"/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30" customWidth="1" min="5" max="5"/>
    <col width="16" customWidth="1" min="6" max="6"/>
    <col width="15" customWidth="1" min="7" max="7"/>
  </cols>
  <sheetData>
    <row r="1" ht="25.5" customHeight="1">
      <c r="A1" s="10" t="inlineStr">
        <is>
          <t>Trust Relationships</t>
        </is>
      </c>
    </row>
    <row r="2">
      <c r="A2" s="9" t="inlineStr"/>
    </row>
    <row r="3"/>
    <row r="4">
      <c r="A4" s="24" t="inlineStr">
        <is>
          <t>Trust ID</t>
        </is>
      </c>
      <c r="B4" s="24" t="inlineStr">
        <is>
          <t>Systems in Trust</t>
        </is>
      </c>
      <c r="C4" s="24" t="inlineStr">
        <is>
          <t>Trust Type (SAML / certificate / API)</t>
        </is>
      </c>
      <c r="D4" s="24" t="inlineStr">
        <is>
          <t>Direction</t>
        </is>
      </c>
      <c r="E4" s="24" t="inlineStr">
        <is>
          <t>Justification</t>
        </is>
      </c>
      <c r="F4" s="24" t="inlineStr">
        <is>
          <t>Owner (Role)</t>
        </is>
      </c>
      <c r="G4" s="24" t="inlineStr">
        <is>
          <t>Last Reviewed</t>
        </is>
      </c>
    </row>
    <row r="5">
      <c r="A5" s="21" t="inlineStr">
        <is>
          <t>TR-01</t>
        </is>
      </c>
      <c r="B5" s="21" t="inlineStr">
        <is>
          <t>Tri-River and State portals</t>
        </is>
      </c>
      <c r="C5" s="21" t="inlineStr">
        <is>
          <t>SAML federation</t>
        </is>
      </c>
      <c r="D5" s="21" t="inlineStr">
        <is>
          <t>Inbound</t>
        </is>
      </c>
      <c r="E5" s="21" t="inlineStr">
        <is>
          <t>State system access</t>
        </is>
      </c>
      <c r="F5" s="21" t="inlineStr">
        <is>
          <t>Information Security Analyst</t>
        </is>
      </c>
      <c r="G5" s="21" t="inlineStr">
        <is>
          <t>2026-01-28</t>
        </is>
      </c>
    </row>
    <row r="6">
      <c r="A6" s="21" t="inlineStr">
        <is>
          <t>TR-02</t>
        </is>
      </c>
      <c r="B6" s="21" t="inlineStr">
        <is>
          <t>CAD and cloud GIS</t>
        </is>
      </c>
      <c r="C6" s="21" t="inlineStr">
        <is>
          <t>Certificate</t>
        </is>
      </c>
      <c r="D6" s="21" t="inlineStr">
        <is>
          <t>Bidirectional</t>
        </is>
      </c>
      <c r="E6" s="21" t="inlineStr">
        <is>
          <t>Map and location data</t>
        </is>
      </c>
      <c r="F6" s="21" t="inlineStr">
        <is>
          <t>Information Security Analyst</t>
        </is>
      </c>
      <c r="G6" s="21" t="inlineStr">
        <is>
          <t>2026-01-28</t>
        </is>
      </c>
    </row>
    <row r="7">
      <c r="A7" s="21" t="inlineStr">
        <is>
          <t>TR-03</t>
        </is>
      </c>
      <c r="B7" s="21" t="inlineStr">
        <is>
          <t>Identity provider and consoles</t>
        </is>
      </c>
      <c r="C7" s="21" t="inlineStr">
        <is>
          <t>SAML federation</t>
        </is>
      </c>
      <c r="D7" s="21" t="inlineStr">
        <is>
          <t>Outbound</t>
        </is>
      </c>
      <c r="E7" s="21" t="inlineStr">
        <is>
          <t>Single sign-on for admin consoles</t>
        </is>
      </c>
      <c r="F7" s="21" t="inlineStr">
        <is>
          <t>Information Security Analyst</t>
        </is>
      </c>
      <c r="G7" s="21" t="inlineStr">
        <is>
          <t>2026-01-28</t>
        </is>
      </c>
    </row>
    <row r="8">
      <c r="A8" s="21" t="n"/>
      <c r="B8" s="21" t="n"/>
      <c r="C8" s="21" t="n"/>
      <c r="D8" s="21" t="n"/>
      <c r="E8" s="21" t="n"/>
      <c r="F8" s="21" t="n"/>
      <c r="G8" s="21" t="n"/>
    </row>
    <row r="9">
      <c r="A9" s="21" t="n"/>
      <c r="B9" s="21" t="n"/>
      <c r="C9" s="21" t="n"/>
      <c r="D9" s="21" t="n"/>
      <c r="E9" s="21" t="n"/>
      <c r="F9" s="21" t="n"/>
      <c r="G9" s="21" t="n"/>
    </row>
    <row r="10">
      <c r="A10" s="21" t="n"/>
      <c r="B10" s="21" t="n"/>
      <c r="C10" s="21" t="n"/>
      <c r="D10" s="21" t="n"/>
      <c r="E10" s="21" t="n"/>
      <c r="F10" s="21" t="n"/>
      <c r="G10" s="21" t="n"/>
    </row>
    <row r="11">
      <c r="A11" s="21" t="n"/>
      <c r="B11" s="21" t="n"/>
      <c r="C11" s="21" t="n"/>
      <c r="D11" s="21" t="n"/>
      <c r="E11" s="21" t="n"/>
      <c r="F11" s="21" t="n"/>
      <c r="G11" s="21" t="n"/>
    </row>
    <row r="12">
      <c r="A12" s="21" t="n"/>
      <c r="B12" s="21" t="n"/>
      <c r="C12" s="21" t="n"/>
      <c r="D12" s="21" t="n"/>
      <c r="E12" s="21" t="n"/>
      <c r="F12" s="21" t="n"/>
      <c r="G12" s="21" t="n"/>
    </row>
    <row r="13">
      <c r="A13" s="21" t="n"/>
      <c r="B13" s="21" t="n"/>
      <c r="C13" s="21" t="n"/>
      <c r="D13" s="21" t="n"/>
      <c r="E13" s="21" t="n"/>
      <c r="F13" s="21" t="n"/>
      <c r="G13" s="21" t="n"/>
    </row>
    <row r="14">
      <c r="A14" s="21" t="n"/>
      <c r="B14" s="21" t="n"/>
      <c r="C14" s="21" t="n"/>
      <c r="D14" s="21" t="n"/>
      <c r="E14" s="21" t="n"/>
      <c r="F14" s="21" t="n"/>
      <c r="G14" s="21" t="n"/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2026-07-14T16:21:34Z</dcterms:modified>
  <cp:lastModifiedBy>Jason Jeffares</cp:lastModifiedBy>
  <cp:revision>0</cp:revision>
</cp:coreProperties>
</file>
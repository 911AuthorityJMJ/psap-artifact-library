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<sst xmlns="http://schemas.openxmlformats.org/spreadsheetml/2006/main" count="127" uniqueCount="93">
  <si>
    <t xml:space="preserve">Wabash Valley Communications   ·   Worked Example</t>
  </si>
  <si>
    <t xml:space="preserve">Risk Register</t>
  </si>
  <si>
    <t xml:space="preserve">Authority</t>
  </si>
  <si>
    <t xml:space="preserve">Adopted by Wabash Valley Communications under the authority of Anthony Reyes, Director.</t>
  </si>
  <si>
    <t xml:space="preserve">Owner</t>
  </si>
  <si>
    <t xml:space="preserve">Security Coordinator</t>
  </si>
  <si>
    <t xml:space="preserve">Version / Dates</t>
  </si>
  <si>
    <t xml:space="preserve">Version 1.0      Effective Date 2026-03-02      Next Review 2027-03-02</t>
  </si>
  <si>
    <t xml:space="preserve">Classification</t>
  </si>
  <si>
    <t xml:space="preserve">Restricted</t>
  </si>
  <si>
    <t xml:space="preserve">Review cadence</t>
  </si>
  <si>
    <t xml:space="preserve">Reviewed quarterly by the Security Coordinator;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</si>
  <si>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</si>
  <si>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</si>
  <si>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</si>
  <si>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</si>
  <si>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</si>
  <si>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</si>
  <si>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</si>
  <si>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</si>
  <si>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</si>
  <si>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</si>
  <si>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</si>
  <si>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</si>
  <si>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</si>
  <si>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Single upstream path creates a 911 call-delivery single point of failure</t>
  </si>
  <si>
    <t xml:space="preserve">Continuity</t>
  </si>
  <si>
    <t xml:space="preserve">Possible</t>
  </si>
  <si>
    <t xml:space="preserve">Severe</t>
  </si>
  <si>
    <t xml:space="preserve">High</t>
  </si>
  <si>
    <t xml:space="preserve">Treat: dual ESInet path under review</t>
  </si>
  <si>
    <t xml:space="preserve">Treating</t>
  </si>
  <si>
    <t xml:space="preserve">2026-06-10</t>
  </si>
  <si>
    <t xml:space="preserve">POA&amp;M-001</t>
  </si>
  <si>
    <t xml:space="preserve">RISK-002</t>
  </si>
  <si>
    <t xml:space="preserve">Patching backlog across shared county systems</t>
  </si>
  <si>
    <t xml:space="preserve">Technical</t>
  </si>
  <si>
    <t xml:space="preserve">Likely</t>
  </si>
  <si>
    <t xml:space="preserve">Major</t>
  </si>
  <si>
    <t xml:space="preserve">Treat: align to the county patch cycle</t>
  </si>
  <si>
    <t xml:space="preserve">IT Support Lead</t>
  </si>
  <si>
    <t xml:space="preserve">POA&amp;M-002</t>
  </si>
  <si>
    <t xml:space="preserve">RISK-003</t>
  </si>
  <si>
    <t xml:space="preserve">Part-time security coordination limits monitoring</t>
  </si>
  <si>
    <t xml:space="preserve">Operational</t>
  </si>
  <si>
    <t xml:space="preserve">Moderate</t>
  </si>
  <si>
    <t xml:space="preserve">Accept: monthly review compensates for now</t>
  </si>
  <si>
    <t xml:space="preserve">Director</t>
  </si>
  <si>
    <t xml:space="preserve">Accepted</t>
  </si>
  <si>
    <t xml:space="preserve">Treatment Log RT-003</t>
  </si>
  <si>
    <t xml:space="preserve">RISK-004</t>
  </si>
  <si>
    <t xml:space="preserve">Vendor remote access without multi-factor authentication</t>
  </si>
  <si>
    <t xml:space="preserve">Third-party</t>
  </si>
  <si>
    <t xml:space="preserve">Treat: MFA required in the SLA</t>
  </si>
  <si>
    <t xml:space="preserve">POA&amp;M-004</t>
  </si>
  <si>
    <t xml:space="preserve">RISK-005</t>
  </si>
  <si>
    <t xml:space="preserve">Mixed cloud and on-prem data without unified logging</t>
  </si>
  <si>
    <t xml:space="preserve">Treat: consolidate logging</t>
  </si>
  <si>
    <t xml:space="preserve">Open</t>
  </si>
  <si>
    <t xml:space="preserve">POA&amp;M-005</t>
  </si>
  <si>
    <t xml:space="preserve">RISK-006</t>
  </si>
  <si>
    <t xml:space="preserve">Cyber-incident reporting contact not updated before the deadline</t>
  </si>
  <si>
    <t xml:space="preserve">Compliance</t>
  </si>
  <si>
    <t xml:space="preserve">Unlikely</t>
  </si>
  <si>
    <t xml:space="preserve">Low</t>
  </si>
  <si>
    <t xml:space="preserve">Treat: calendar reminder set before September 1</t>
  </si>
  <si>
    <t xml:space="preserve">POA&amp;M-006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</si>
  <si>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</si>
  <si>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</si>
  <si>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</si>
  <si>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</si>
  <si>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</si>
  <si>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</si>
  <si>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</si>
  <si>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</si>
  <si>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</si>
  <si>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</si>
  <si>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</si>
  <si>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</si>
  <si>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</si>
  <si>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</si>
  <si>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</si>
  <si>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</si>
  <si>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</si>
  <si>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Anthony Reyes</t>
  </si>
  <si>
    <t xml:space="preserve">2026-03-02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</si>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</sst>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10</xdr:col>
      <xdr:colOff>0</xdr:colOff>
      <xdr:row>0</xdr:row>
      <xdr:rowOff>0</xdr:rowOff>
    </xdr:from>
    <xdr:ext cx="857250" cy="85725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190440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39152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 pitchFamily="0" charset="1"/>
        <a:ea typeface=""/>
        <a:cs typeface=""/>
      </a:majorFont>
      <a:minorFont>
        <a:latin typeface="Aptos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36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40</v>
      </c>
      <c r="I13" s="7" t="s">
        <v>31</v>
      </c>
      <c r="J13" s="7" t="s">
        <v>32</v>
      </c>
      <c r="K13" s="7" t="s">
        <v>41</v>
      </c>
    </row>
    <row r="14" customFormat="false" ht="36" hidden="false" customHeight="true" outlineLevel="0" collapsed="false">
      <c r="A14" s="7" t="s">
        <v>42</v>
      </c>
      <c r="B14" s="7" t="s">
        <v>43</v>
      </c>
      <c r="C14" s="7" t="s">
        <v>44</v>
      </c>
      <c r="D14" s="7" t="s">
        <v>27</v>
      </c>
      <c r="E14" s="7" t="s">
        <v>45</v>
      </c>
      <c r="F14" s="7" t="s">
        <v>45</v>
      </c>
      <c r="G14" s="7" t="s">
        <v>46</v>
      </c>
      <c r="H14" s="7" t="s">
        <v>47</v>
      </c>
      <c r="I14" s="7" t="s">
        <v>48</v>
      </c>
      <c r="J14" s="7" t="s">
        <v>32</v>
      </c>
      <c r="K14" s="7" t="s">
        <v>49</v>
      </c>
    </row>
    <row r="15" customFormat="false" ht="36" hidden="false" customHeight="true" outlineLevel="0" collapsed="false">
      <c r="A15" s="7" t="s">
        <v>50</v>
      </c>
      <c r="B15" s="7" t="s">
        <v>51</v>
      </c>
      <c r="C15" s="7" t="s">
        <v>52</v>
      </c>
      <c r="D15" s="7" t="s">
        <v>27</v>
      </c>
      <c r="E15" s="7" t="s">
        <v>38</v>
      </c>
      <c r="F15" s="7" t="s">
        <v>29</v>
      </c>
      <c r="G15" s="7" t="s">
        <v>53</v>
      </c>
      <c r="H15" s="7" t="s">
        <v>5</v>
      </c>
      <c r="I15" s="7" t="s">
        <v>31</v>
      </c>
      <c r="J15" s="7" t="s">
        <v>32</v>
      </c>
      <c r="K15" s="7" t="s">
        <v>54</v>
      </c>
    </row>
    <row r="16" customFormat="false" ht="36" hidden="false" customHeight="true" outlineLevel="0" collapsed="false">
      <c r="A16" s="7" t="s">
        <v>55</v>
      </c>
      <c r="B16" s="7" t="s">
        <v>56</v>
      </c>
      <c r="C16" s="7" t="s">
        <v>36</v>
      </c>
      <c r="D16" s="7" t="s">
        <v>27</v>
      </c>
      <c r="E16" s="7" t="s">
        <v>45</v>
      </c>
      <c r="F16" s="7" t="s">
        <v>45</v>
      </c>
      <c r="G16" s="7" t="s">
        <v>57</v>
      </c>
      <c r="H16" s="7" t="s">
        <v>40</v>
      </c>
      <c r="I16" s="7" t="s">
        <v>58</v>
      </c>
      <c r="J16" s="7" t="s">
        <v>32</v>
      </c>
      <c r="K16" s="7" t="s">
        <v>59</v>
      </c>
    </row>
    <row r="17" customFormat="false" ht="51" hidden="false" customHeight="true" outlineLevel="0" collapsed="false">
      <c r="A17" s="7" t="s">
        <v>60</v>
      </c>
      <c r="B17" s="7" t="s">
        <v>61</v>
      </c>
      <c r="C17" s="7" t="s">
        <v>62</v>
      </c>
      <c r="D17" s="7" t="s">
        <v>63</v>
      </c>
      <c r="E17" s="7" t="s">
        <v>45</v>
      </c>
      <c r="F17" s="7" t="s">
        <v>64</v>
      </c>
      <c r="G17" s="7" t="s">
        <v>65</v>
      </c>
      <c r="H17" s="7" t="s">
        <v>47</v>
      </c>
      <c r="I17" s="7" t="s">
        <v>31</v>
      </c>
      <c r="J17" s="7" t="s">
        <v>32</v>
      </c>
      <c r="K17" s="7" t="s">
        <v>66</v>
      </c>
    </row>
    <row r="19" customFormat="false" ht="15" hidden="false" customHeight="false" outlineLevel="0" collapsed="false">
      <c r="A19" s="5" t="s">
        <v>67</v>
      </c>
      <c r="B19" s="5"/>
      <c r="C19" s="5"/>
      <c r="D19" s="5"/>
      <c r="E19" s="5"/>
      <c r="F19" s="5"/>
      <c r="G19" s="5"/>
      <c r="H19" s="5"/>
      <c r="I19" s="5"/>
      <c r="J19" s="5"/>
      <c r="K19" s="5"/>
    </row>
    <row r="20" customFormat="false" ht="15" hidden="false" customHeight="false" outlineLevel="0" collapsed="false">
      <c r="A20" s="8" t="s">
        <v>68</v>
      </c>
      <c r="C20" s="8" t="n">
        <f aca="false">COUNTA(A12:A17)</f>
        <v>6</v>
      </c>
    </row>
    <row r="21" customFormat="false" ht="15" hidden="false" customHeight="false" outlineLevel="0" collapsed="false">
      <c r="A21" s="8" t="s">
        <v>58</v>
      </c>
      <c r="C21" s="8" t="n">
        <f aca="false">COUNTIF(I12:I17,"Open")</f>
        <v>1</v>
      </c>
    </row>
    <row r="22" customFormat="false" ht="15" hidden="false" customHeight="false" outlineLevel="0" collapsed="false">
      <c r="A22" s="8" t="s">
        <v>31</v>
      </c>
      <c r="C22" s="8" t="n">
        <f aca="false">COUNTIF(I12:I17,"Treating")</f>
        <v>4</v>
      </c>
    </row>
    <row r="23" customFormat="false" ht="15" hidden="false" customHeight="false" outlineLevel="0" collapsed="false">
      <c r="A23" s="8" t="s">
        <v>48</v>
      </c>
      <c r="C23" s="8" t="n">
        <f aca="false">COUNTIF(I12:I17,"Accepted")</f>
        <v>1</v>
      </c>
    </row>
    <row r="24" customFormat="false" ht="15" hidden="false" customHeight="false" outlineLevel="0" collapsed="false">
      <c r="A24" s="8" t="s">
        <v>69</v>
      </c>
      <c r="C24" s="8" t="n">
        <f aca="false">COUNTIF(I12:I17,"Closed")</f>
        <v>0</v>
      </c>
    </row>
    <row r="25" customFormat="false" ht="15" hidden="false" customHeight="false" outlineLevel="0" collapsed="false">
      <c r="A25" s="8" t="s">
        <v>70</v>
      </c>
      <c r="C25" s="8" t="n">
        <f aca="true">COUNTIF(J12:J17,"&lt;"&amp;TODAY())</f>
        <v>0</v>
      </c>
    </row>
    <row r="27" customFormat="false" ht="15" hidden="false" customHeight="false" outlineLevel="0" collapsed="false">
      <c r="A27" s="5" t="s">
        <v>71</v>
      </c>
      <c r="B27" s="5"/>
      <c r="C27" s="5"/>
      <c r="D27" s="5"/>
      <c r="E27" s="5"/>
      <c r="F27" s="5"/>
      <c r="G27" s="5"/>
      <c r="H27" s="5"/>
      <c r="I27" s="5"/>
      <c r="J27" s="5"/>
      <c r="K27" s="5"/>
    </row>
    <row r="28" customFormat="false" ht="60" hidden="false" customHeight="true" outlineLevel="0" collapsed="false">
      <c r="A28" s="9" t="s">
        <v>72</v>
      </c>
      <c r="B28" s="9"/>
      <c r="C28" s="9"/>
      <c r="D28" s="9"/>
      <c r="E28" s="9"/>
      <c r="F28" s="9"/>
      <c r="G28" s="9"/>
      <c r="H28" s="9"/>
      <c r="I28" s="9"/>
      <c r="J28" s="9"/>
      <c r="K28" s="9"/>
    </row>
    <row r="29" customFormat="false" ht="60" hidden="false" customHeight="true" outlineLevel="0" collapsed="false">
      <c r="A29" s="9" t="s">
        <v>73</v>
      </c>
      <c r="B29" s="9"/>
      <c r="C29" s="9"/>
      <c r="D29" s="9"/>
      <c r="E29" s="9"/>
      <c r="F29" s="9"/>
      <c r="G29" s="9"/>
      <c r="H29" s="9"/>
      <c r="I29" s="9"/>
      <c r="J29" s="9"/>
      <c r="K29" s="9"/>
    </row>
    <row r="31" customFormat="false" ht="15" hidden="false" customHeight="false" outlineLevel="0" collapsed="false">
      <c r="A31" s="5" t="s">
        <v>74</v>
      </c>
      <c r="B31" s="5"/>
      <c r="C31" s="5"/>
      <c r="D31" s="5"/>
      <c r="E31" s="5"/>
      <c r="F31" s="5"/>
      <c r="G31" s="5"/>
      <c r="H31" s="5"/>
      <c r="I31" s="5"/>
      <c r="J31" s="5"/>
      <c r="K31" s="5"/>
    </row>
    <row r="32" customFormat="false" ht="45" hidden="false" customHeight="true" outlineLevel="0" collapsed="false">
      <c r="A32" s="9" t="s">
        <v>75</v>
      </c>
      <c r="B32" s="9"/>
      <c r="C32" s="9"/>
      <c r="D32" s="9"/>
      <c r="E32" s="9"/>
      <c r="F32" s="9"/>
      <c r="G32" s="9"/>
      <c r="H32" s="9"/>
      <c r="I32" s="9"/>
      <c r="J32" s="9"/>
      <c r="K32" s="9"/>
    </row>
    <row r="34" customFormat="false" ht="15" hidden="false" customHeight="false" outlineLevel="0" collapsed="false">
      <c r="A34" s="5" t="s">
        <v>76</v>
      </c>
      <c r="B34" s="5"/>
      <c r="C34" s="5"/>
      <c r="D34" s="5"/>
      <c r="E34" s="5"/>
      <c r="F34" s="5"/>
      <c r="G34" s="5"/>
      <c r="H34" s="5"/>
      <c r="I34" s="5"/>
      <c r="J34" s="5"/>
      <c r="K34" s="5"/>
    </row>
    <row r="35" customFormat="false" ht="15" hidden="false" customHeight="false" outlineLevel="0" collapsed="false">
      <c r="A35" s="10" t="s">
        <v>77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customFormat="false" ht="15" hidden="false" customHeight="false" outlineLevel="0" collapsed="false">
      <c r="A36" s="10" t="s">
        <v>78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8" customFormat="false" ht="15" hidden="false" customHeight="false" outlineLevel="0" collapsed="false">
      <c r="A38" s="5" t="s">
        <v>79</v>
      </c>
      <c r="B38" s="5"/>
      <c r="C38" s="5"/>
      <c r="D38" s="5"/>
      <c r="E38" s="5"/>
      <c r="F38" s="5"/>
      <c r="G38" s="5"/>
      <c r="H38" s="5"/>
      <c r="I38" s="5"/>
      <c r="J38" s="5"/>
      <c r="K38" s="5"/>
    </row>
    <row r="39" customFormat="false" ht="15" hidden="false" customHeight="false" outlineLevel="0" collapsed="false">
      <c r="A39" s="11" t="s">
        <v>80</v>
      </c>
      <c r="B39" s="11" t="s">
        <v>81</v>
      </c>
      <c r="C39" s="11" t="s">
        <v>82</v>
      </c>
      <c r="D39" s="11" t="s">
        <v>83</v>
      </c>
    </row>
    <row r="40" customFormat="false" ht="25.5" hidden="false" customHeight="true" outlineLevel="0" collapsed="false">
      <c r="A40" s="12" t="s">
        <v>47</v>
      </c>
      <c r="B40" s="12" t="s">
        <v>84</v>
      </c>
      <c r="C40" s="12" t="s">
        <v>84</v>
      </c>
      <c r="D40" s="12" t="s">
        <v>85</v>
      </c>
    </row>
    <row r="41" customFormat="false" ht="25.5" hidden="false" customHeight="true" outlineLevel="0" collapsed="false">
      <c r="A41" s="12" t="s">
        <v>5</v>
      </c>
      <c r="B41" s="12" t="s">
        <v>86</v>
      </c>
      <c r="C41" s="12" t="s">
        <v>86</v>
      </c>
      <c r="D41" s="12" t="s">
        <v>85</v>
      </c>
    </row>
    <row r="43" customFormat="false" ht="15" hidden="false" customHeight="false" outlineLevel="0" collapsed="false">
      <c r="A43" s="5" t="s">
        <v>87</v>
      </c>
      <c r="B43" s="5"/>
      <c r="C43" s="5"/>
      <c r="D43" s="5"/>
      <c r="E43" s="5"/>
      <c r="F43" s="5"/>
      <c r="G43" s="5"/>
      <c r="H43" s="5"/>
      <c r="I43" s="5"/>
      <c r="J43" s="5"/>
      <c r="K43" s="5"/>
    </row>
    <row r="44" customFormat="false" ht="15" hidden="false" customHeight="false" outlineLevel="0" collapsed="false">
      <c r="A44" s="11" t="s">
        <v>88</v>
      </c>
      <c r="B44" s="11" t="s">
        <v>83</v>
      </c>
      <c r="C44" s="11" t="s">
        <v>89</v>
      </c>
      <c r="D44" s="11" t="s">
        <v>90</v>
      </c>
    </row>
    <row r="45" customFormat="false" ht="15" hidden="false" customHeight="false" outlineLevel="0" collapsed="false">
      <c r="A45" s="12" t="s">
        <v>91</v>
      </c>
      <c r="B45" s="12" t="s">
        <v>85</v>
      </c>
      <c r="C45" s="12" t="s">
        <v>5</v>
      </c>
      <c r="D45" s="12" t="s">
        <v>92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19:K19"/>
    <mergeCell ref="A27:K27"/>
    <mergeCell ref="A28:K28"/>
    <mergeCell ref="A29:K29"/>
    <mergeCell ref="A31:K31"/>
    <mergeCell ref="A32:K32"/>
    <mergeCell ref="A34:K34"/>
    <mergeCell ref="A35:K35"/>
    <mergeCell ref="A36:K36"/>
    <mergeCell ref="A38:K38"/>
    <mergeCell ref="A43:K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
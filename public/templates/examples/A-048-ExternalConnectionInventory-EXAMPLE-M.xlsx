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9920" windowHeight="20380" tabRatio="500" firstSheet="0" activeTab="0" autoFilterDateGrouping="1"/>
  </bookViews>
  <sheets>
    <sheet xmlns:r="http://schemas.openxmlformats.org/officeDocument/2006/relationships" name="External Connections" sheetId="1" state="visible" r:id="rId1"/>
    <sheet xmlns:r="http://schemas.openxmlformats.org/officeDocument/2006/relationships" name="Trust Relationshi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center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7" fillId="2" borderId="1" applyAlignment="1" pivotButton="0" quotePrefix="0" xfId="0">
      <alignment horizontal="center" vertic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Relationship Type="http://schemas.openxmlformats.org/officeDocument/2006/relationships/image" Target="/xl/media/image7.png" Id="rId3"/><Relationship Type="http://schemas.openxmlformats.org/officeDocument/2006/relationships/image" Target="/xl/media/image8.png" Id="rId4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5334000" cy="3905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5334000" cy="3905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5334000" cy="3905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5334000" cy="3905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5334000" cy="3905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5334000" cy="3905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7"/>
  <sheetViews>
    <sheetView showGridLines="0" tabSelected="1" zoomScaleNormal="100" workbookViewId="0">
      <pane ySplit="11" topLeftCell="A12" activePane="bottomLeft" state="frozen"/>
      <selection pane="bottomLeft" activeCell="A1" sqref="A1:G1"/>
    </sheetView>
  </sheetViews>
  <sheetFormatPr baseColWidth="10" defaultColWidth="8.6640625" defaultRowHeight="15"/>
  <cols>
    <col width="10" customWidth="1" min="1" max="1"/>
    <col width="24" customWidth="1" min="2" max="2"/>
    <col width="12" customWidth="1" min="3" max="3"/>
    <col width="28" customWidth="1" min="4" max="4"/>
    <col width="26" customWidth="1" min="5" max="5"/>
    <col width="28" customWidth="1" min="6" max="7"/>
    <col width="22" customWidth="1" min="7" max="7"/>
    <col width="16" customWidth="1" min="8" max="8"/>
    <col width="13" customWidth="1" min="9" max="9"/>
    <col width="13" customWidth="1" min="10" max="10"/>
  </cols>
  <sheetData>
    <row r="1" ht="25.5" customHeight="1">
      <c r="A1" s="10" t="inlineStr">
        <is>
          <t>External Connection Inventory</t>
        </is>
      </c>
    </row>
    <row r="2" ht="15" customHeight="1">
      <c r="A2" s="9" t="n"/>
    </row>
    <row r="3" ht="15" customHeight="1">
      <c r="A3" s="8" t="inlineStr">
        <is>
          <t>Authority</t>
        </is>
      </c>
      <c r="B3" s="22" t="n"/>
      <c r="C3" s="7" t="inlineStr">
        <is>
          <t>Adopted by Wabash Valley Communications under the authority of Anthony Reyes, Director.</t>
        </is>
      </c>
      <c r="D3" s="23" t="n"/>
      <c r="E3" s="23" t="n"/>
      <c r="F3" s="23" t="n"/>
      <c r="G3" s="22" t="n"/>
    </row>
    <row r="4" ht="15" customHeight="1">
      <c r="A4" s="8" t="inlineStr">
        <is>
          <t>Owner</t>
        </is>
      </c>
      <c r="B4" s="22" t="n"/>
      <c r="C4" s="7" t="inlineStr">
        <is>
          <t>IT Support Lead</t>
        </is>
      </c>
      <c r="D4" s="23" t="n"/>
      <c r="E4" s="23" t="n"/>
      <c r="F4" s="23" t="n"/>
      <c r="G4" s="22" t="n"/>
    </row>
    <row r="5" ht="15" customHeight="1">
      <c r="A5" s="8" t="inlineStr">
        <is>
          <t>Version / Dates</t>
        </is>
      </c>
      <c r="B5" s="22" t="n"/>
      <c r="C5" s="7" t="inlineStr">
        <is>
          <t>Version 1      Effective Date 2026-02-09      Next Review 2027-02-09</t>
        </is>
      </c>
      <c r="D5" s="23" t="n"/>
      <c r="E5" s="23" t="n"/>
      <c r="F5" s="23" t="n"/>
      <c r="G5" s="22" t="n"/>
    </row>
    <row r="6" ht="43.5" customHeight="1">
      <c r="A6" s="8" t="inlineStr">
        <is>
          <t>Classification</t>
        </is>
      </c>
      <c r="B6" s="22" t="n"/>
      <c r="C6" s="6" t="inlineStr">
        <is>
          <t>Restricted</t>
        </is>
      </c>
      <c r="D6" s="23" t="n"/>
      <c r="E6" s="23" t="n"/>
      <c r="F6" s="23" t="n"/>
      <c r="G6" s="22" t="n"/>
    </row>
    <row r="7" ht="15" customHeight="1">
      <c r="A7" s="8" t="inlineStr">
        <is>
          <t>Review cadence</t>
        </is>
      </c>
      <c r="B7" s="22" t="n"/>
      <c r="C7" s="7" t="inlineStr">
        <is>
          <t>Reviewed and reconciled at least annually by the IT Support Lead; entries kept current as connections are added or removed.</t>
        </is>
      </c>
      <c r="D7" s="23" t="n"/>
      <c r="E7" s="23" t="n"/>
      <c r="F7" s="23" t="n"/>
      <c r="G7" s="22" t="n"/>
    </row>
    <row r="8"/>
    <row r="9" ht="15" customHeight="1">
      <c r="A9" s="5" t="inlineStr">
        <is>
          <t>Register Entries</t>
        </is>
      </c>
    </row>
    <row r="10" ht="27.75" customHeight="1">
      <c r="A10" s="9" t="inlineStr"/>
    </row>
    <row r="11" ht="30" customHeight="1">
      <c r="A11" s="11" t="inlineStr">
        <is>
          <t>ID</t>
        </is>
      </c>
      <c r="B11" s="11" t="inlineStr">
        <is>
          <t>Connection Type</t>
        </is>
      </c>
      <c r="C11" s="11" t="inlineStr">
        <is>
          <t>Endpoint / Provider</t>
        </is>
      </c>
      <c r="D11" s="11" t="inlineStr">
        <is>
          <t>Business Justification</t>
        </is>
      </c>
      <c r="E11" s="11" t="inlineStr">
        <is>
          <t>Protecting Control</t>
        </is>
      </c>
      <c r="F11" s="11" t="inlineStr">
        <is>
          <t>Monitored? (Y/N + how)</t>
        </is>
      </c>
      <c r="G11" s="11" t="inlineStr">
        <is>
          <t>Owner (Role)</t>
        </is>
      </c>
      <c r="H11" s="24" t="inlineStr">
        <is>
          <t>Last Verified</t>
        </is>
      </c>
    </row>
    <row r="12" ht="19.5" customHeight="1">
      <c r="A12" s="12" t="inlineStr">
        <is>
          <t>EXT-01</t>
        </is>
      </c>
      <c r="B12" s="12" t="inlineStr">
        <is>
          <t>ESInet (primary)</t>
        </is>
      </c>
      <c r="C12" s="12" t="inlineStr">
        <is>
          <t>ESInet provider A</t>
        </is>
      </c>
      <c r="D12" s="12" t="inlineStr">
        <is>
          <t>9-1-1 call delivery</t>
        </is>
      </c>
      <c r="E12" s="12" t="inlineStr">
        <is>
          <t>SBC + firewall pair</t>
        </is>
      </c>
      <c r="F12" s="12" t="inlineStr">
        <is>
          <t>Y – SIEM</t>
        </is>
      </c>
      <c r="G12" s="12" t="inlineStr">
        <is>
          <t>IT Support Lead</t>
        </is>
      </c>
      <c r="H12" s="21" t="inlineStr">
        <is>
          <t>2026-02-05</t>
        </is>
      </c>
    </row>
    <row r="13" ht="19.5" customHeight="1">
      <c r="A13" s="12" t="inlineStr">
        <is>
          <t>EXT-02</t>
        </is>
      </c>
      <c r="B13" s="12" t="inlineStr">
        <is>
          <t>ESInet (secondary)</t>
        </is>
      </c>
      <c r="C13" s="12" t="inlineStr">
        <is>
          <t>ESInet provider B</t>
        </is>
      </c>
      <c r="D13" s="12" t="inlineStr">
        <is>
          <t>Redundant call delivery</t>
        </is>
      </c>
      <c r="E13" s="12" t="inlineStr">
        <is>
          <t>SBC + firewall pair</t>
        </is>
      </c>
      <c r="F13" s="12" t="inlineStr">
        <is>
          <t>Y – SIEM</t>
        </is>
      </c>
      <c r="G13" s="12" t="inlineStr">
        <is>
          <t>IT Support Lead</t>
        </is>
      </c>
      <c r="H13" s="21" t="inlineStr">
        <is>
          <t>2026-02-05</t>
        </is>
      </c>
    </row>
    <row r="14" ht="19.5" customHeight="1">
      <c r="A14" s="12" t="inlineStr">
        <is>
          <t>EXT-03</t>
        </is>
      </c>
      <c r="B14" s="12" t="inlineStr">
        <is>
          <t>ISP (dual)</t>
        </is>
      </c>
      <c r="C14" s="12" t="inlineStr">
        <is>
          <t>Two ISPs</t>
        </is>
      </c>
      <c r="D14" s="12" t="inlineStr">
        <is>
          <t>Internet, redundant</t>
        </is>
      </c>
      <c r="E14" s="12" t="inlineStr">
        <is>
          <t>Firewalls, default-deny</t>
        </is>
      </c>
      <c r="F14" s="12" t="inlineStr">
        <is>
          <t>Y – SIEM</t>
        </is>
      </c>
      <c r="G14" s="12" t="inlineStr">
        <is>
          <t>IT Support Lead</t>
        </is>
      </c>
      <c r="H14" s="21" t="inlineStr">
        <is>
          <t>2026-02-05</t>
        </is>
      </c>
    </row>
    <row r="15" ht="19.5" customHeight="1">
      <c r="A15" s="12" t="inlineStr">
        <is>
          <t>EXT-04</t>
        </is>
      </c>
      <c r="B15" s="12" t="inlineStr">
        <is>
          <t>Cloud GIS</t>
        </is>
      </c>
      <c r="C15" s="12" t="inlineStr">
        <is>
          <t>GIS SaaS provider</t>
        </is>
      </c>
      <c r="D15" s="12" t="inlineStr">
        <is>
          <t>Hosted mapping</t>
        </is>
      </c>
      <c r="E15" s="12" t="inlineStr">
        <is>
          <t>TLS + reverse proxy</t>
        </is>
      </c>
      <c r="F15" s="12" t="inlineStr">
        <is>
          <t>Y – SIEM</t>
        </is>
      </c>
      <c r="G15" s="12" t="inlineStr">
        <is>
          <t>IT Support Lead</t>
        </is>
      </c>
      <c r="H15" s="21" t="inlineStr">
        <is>
          <t>2026-02-05</t>
        </is>
      </c>
    </row>
    <row r="16" ht="19.5" customHeight="1">
      <c r="A16" s="12" t="inlineStr">
        <is>
          <t>EXT-05</t>
        </is>
      </c>
      <c r="B16" s="12" t="inlineStr">
        <is>
          <t>Cloud backup</t>
        </is>
      </c>
      <c r="C16" s="12" t="inlineStr">
        <is>
          <t>Backup provider</t>
        </is>
      </c>
      <c r="D16" s="12" t="inlineStr">
        <is>
          <t>Off-site backup</t>
        </is>
      </c>
      <c r="E16" s="12" t="inlineStr">
        <is>
          <t>TLS</t>
        </is>
      </c>
      <c r="F16" s="12" t="inlineStr">
        <is>
          <t>Y – SIEM</t>
        </is>
      </c>
      <c r="G16" s="12" t="inlineStr">
        <is>
          <t>IT Support Lead</t>
        </is>
      </c>
      <c r="H16" s="21" t="inlineStr">
        <is>
          <t>2026-02-05</t>
        </is>
      </c>
    </row>
    <row r="17" ht="19.5" customHeight="1">
      <c r="A17" s="12" t="inlineStr">
        <is>
          <t>EXT-06</t>
        </is>
      </c>
      <c r="B17" s="12" t="inlineStr">
        <is>
          <t>Vendor VPNs</t>
        </is>
      </c>
      <c r="C17" s="12" t="inlineStr">
        <is>
          <t>CAD and radio vendors</t>
        </is>
      </c>
      <c r="D17" s="12" t="inlineStr">
        <is>
          <t>Maintenance</t>
        </is>
      </c>
      <c r="E17" s="12" t="inlineStr">
        <is>
          <t>VPN, MFA</t>
        </is>
      </c>
      <c r="F17" s="12" t="inlineStr">
        <is>
          <t>Y – VPN logs</t>
        </is>
      </c>
      <c r="G17" s="12" t="inlineStr">
        <is>
          <t>IT Support Lead</t>
        </is>
      </c>
      <c r="H17" s="21" t="inlineStr">
        <is>
          <t>2026-02-05</t>
        </is>
      </c>
    </row>
    <row r="18" ht="19.5" customHeight="1">
      <c r="A18" s="12" t="n"/>
      <c r="B18" s="12" t="n"/>
      <c r="C18" s="12" t="n"/>
      <c r="D18" s="12" t="n"/>
      <c r="E18" s="12" t="n"/>
      <c r="F18" s="12" t="n"/>
      <c r="G18" s="12" t="n"/>
      <c r="H18" s="21" t="n"/>
    </row>
    <row r="19" ht="19.5" customHeight="1">
      <c r="A19" s="12" t="n"/>
      <c r="B19" s="12" t="n"/>
      <c r="C19" s="12" t="n"/>
      <c r="D19" s="12" t="n"/>
      <c r="E19" s="12" t="n"/>
      <c r="F19" s="12" t="n"/>
      <c r="G19" s="12" t="n"/>
      <c r="H19" s="21" t="n"/>
    </row>
    <row r="20" ht="19.5" customHeight="1">
      <c r="A20" s="12" t="n"/>
      <c r="B20" s="12" t="n"/>
      <c r="C20" s="12" t="n"/>
      <c r="D20" s="12" t="n"/>
      <c r="E20" s="12" t="n"/>
      <c r="F20" s="12" t="n"/>
      <c r="G20" s="12" t="n"/>
      <c r="H20" s="21" t="n"/>
    </row>
    <row r="21" ht="19.5" customHeight="1">
      <c r="A21" s="12" t="n"/>
      <c r="B21" s="12" t="n"/>
      <c r="C21" s="12" t="n"/>
      <c r="D21" s="12" t="n"/>
      <c r="E21" s="12" t="n"/>
      <c r="F21" s="12" t="n"/>
      <c r="G21" s="12" t="n"/>
      <c r="H21" s="21" t="n"/>
    </row>
    <row r="22"/>
    <row r="23" ht="15" customHeight="1">
      <c r="A23" s="5" t="inlineStr">
        <is>
          <t>Summary</t>
        </is>
      </c>
    </row>
    <row r="24" ht="15" customHeight="1">
      <c r="A24" s="4" t="inlineStr">
        <is>
          <t>Total connections</t>
        </is>
      </c>
      <c r="B24" s="25" t="n"/>
      <c r="C24" s="13">
        <f>COUNTA(A12:A21)</f>
        <v/>
      </c>
    </row>
    <row r="25" ht="15" customHeight="1">
      <c r="A25" s="4" t="inlineStr">
        <is>
          <t>Monitored</t>
        </is>
      </c>
      <c r="B25" s="25" t="n"/>
      <c r="C25" s="13">
        <f>COUNTIF(F12:F21,"Y*")</f>
        <v/>
      </c>
    </row>
    <row r="26" ht="15" customHeight="1">
      <c r="A26" s="4" t="inlineStr">
        <is>
          <t>Not monitored (review)</t>
        </is>
      </c>
      <c r="B26" s="25" t="n"/>
      <c r="C26" s="13">
        <f>COUNTIF(F12:F21,"N*")</f>
        <v/>
      </c>
    </row>
    <row r="27" ht="15" customHeight="1">
      <c r="A27" s="4" t="inlineStr">
        <is>
          <t>Not verified in 12 months</t>
        </is>
      </c>
      <c r="B27" s="25" t="n"/>
      <c r="C27" s="13">
        <f>COUNTIF(H12:H21,"&lt;"&amp;(TODAY()-365))</f>
        <v/>
      </c>
    </row>
    <row r="28" ht="15" customHeight="1">
      <c r="A28" s="4" t="n"/>
      <c r="B28" s="25" t="n"/>
      <c r="C28" s="13" t="n"/>
    </row>
    <row r="29" ht="15" customHeight="1">
      <c r="A29" s="4" t="n"/>
      <c r="B29" s="25" t="n"/>
      <c r="C29" s="13" t="n"/>
    </row>
    <row r="30"/>
    <row r="31" ht="15" customHeight="1">
      <c r="A31" s="5" t="inlineStr">
        <is>
          <t>Source Authority</t>
        </is>
      </c>
    </row>
    <row r="32" ht="15" customHeight="1">
      <c r="A32" s="9" t="inlineStr"/>
    </row>
    <row r="33" ht="15" customHeight="1">
      <c r="A33" s="3" t="inlineStr">
        <is>
          <t>NENA-STA-040.2-2024: §6.3, §6.11, §6.13, §6.23.2</t>
        </is>
      </c>
    </row>
    <row r="34" ht="15" customHeight="1">
      <c r="A34" s="3" t="inlineStr">
        <is>
          <t>NIST SP 800-53 Rev. 5: AC-20, CA-3, CA-9, IA-9, SA-9, SC-7</t>
        </is>
      </c>
    </row>
    <row r="35" ht="15" customHeight="1">
      <c r="A35" s="3" t="inlineStr">
        <is>
          <t>Indiana statutes and administrative code:</t>
        </is>
      </c>
    </row>
    <row r="36" ht="15" customHeight="1">
      <c r="A36" s="3" t="inlineStr">
        <is>
          <t xml:space="preserve">    IC 36-8-16.7: Statewide 9-1-1 Services (external connectivity)</t>
        </is>
      </c>
    </row>
    <row r="37">
      <c r="A37" t="inlineStr">
        <is>
          <t>CJIS Security Policy v5.9: §5.1  (if an IDACS or other CJIS-regulated interconnection is listed)</t>
        </is>
      </c>
    </row>
    <row r="38" ht="15" customHeight="1">
      <c r="A38" s="5" t="inlineStr">
        <is>
          <t>Approval Signatures</t>
        </is>
      </c>
    </row>
    <row r="39" ht="17" customHeight="1">
      <c r="A39" s="11" t="inlineStr">
        <is>
          <t>Role</t>
        </is>
      </c>
      <c r="B39" s="11" t="inlineStr">
        <is>
          <t>Name</t>
        </is>
      </c>
      <c r="C39" s="11" t="inlineStr">
        <is>
          <t>Signature</t>
        </is>
      </c>
      <c r="D39" s="11" t="inlineStr">
        <is>
          <t>Date</t>
        </is>
      </c>
      <c r="E39" s="14" t="n"/>
      <c r="F39" s="14" t="n"/>
      <c r="G39" s="14" t="n"/>
    </row>
    <row r="40" ht="51" customHeight="1">
      <c r="A40" s="12" t="inlineStr">
        <is>
          <t>Director</t>
        </is>
      </c>
      <c r="B40" s="15" t="inlineStr">
        <is>
          <t>Anthony Reyes</t>
        </is>
      </c>
      <c r="C40" s="15" t="inlineStr">
        <is>
          <t>/s/ Anthony Reyes</t>
        </is>
      </c>
      <c r="D40" s="15" t="inlineStr">
        <is>
          <t>2026-02-09</t>
        </is>
      </c>
    </row>
    <row r="41" ht="34" customHeight="1">
      <c r="A41" s="12" t="inlineStr">
        <is>
          <t>IT Support Lead</t>
        </is>
      </c>
      <c r="B41" s="15" t="inlineStr">
        <is>
          <t>Priya Nair</t>
        </is>
      </c>
      <c r="C41" s="15" t="inlineStr">
        <is>
          <t>/s/ Priya Nair</t>
        </is>
      </c>
      <c r="D41" s="15" t="inlineStr">
        <is>
          <t>2026-02-09</t>
        </is>
      </c>
    </row>
    <row r="42"/>
    <row r="43" ht="15" customHeight="1">
      <c r="A43" s="5" t="inlineStr">
        <is>
          <t>Revision History</t>
        </is>
      </c>
    </row>
    <row r="44" ht="17" customHeight="1">
      <c r="A44" s="11" t="inlineStr">
        <is>
          <t>Version</t>
        </is>
      </c>
      <c r="B44" s="11" t="inlineStr">
        <is>
          <t>Date</t>
        </is>
      </c>
      <c r="C44" s="11" t="inlineStr">
        <is>
          <t>Author</t>
        </is>
      </c>
      <c r="D44" s="11" t="inlineStr">
        <is>
          <t>Summary of Change</t>
        </is>
      </c>
      <c r="E44" s="14" t="n"/>
      <c r="F44" s="14" t="n"/>
      <c r="G44" s="14" t="n"/>
    </row>
    <row r="45" ht="17" customHeight="1">
      <c r="A45" s="12" t="inlineStr">
        <is>
          <t>1</t>
        </is>
      </c>
      <c r="B45" s="12" t="inlineStr">
        <is>
          <t>2026-02-09</t>
        </is>
      </c>
      <c r="C45" s="12" t="inlineStr">
        <is>
          <t>Priya Nair</t>
        </is>
      </c>
      <c r="D45" s="12" t="inlineStr">
        <is>
          <t>Initial adoption</t>
        </is>
      </c>
      <c r="E45" s="12" t="n"/>
      <c r="F45" s="12" t="n"/>
      <c r="G45" s="12" t="n"/>
    </row>
    <row r="46"/>
    <row r="47" ht="30" customHeight="1">
      <c r="A47" s="2" t="n"/>
    </row>
  </sheetData>
  <mergeCells count="30">
    <mergeCell ref="A32:G32"/>
    <mergeCell ref="A24:B24"/>
    <mergeCell ref="C6:G6"/>
    <mergeCell ref="A35:G35"/>
    <mergeCell ref="A38:G38"/>
    <mergeCell ref="C5:G5"/>
    <mergeCell ref="A43:G43"/>
    <mergeCell ref="A6:B6"/>
    <mergeCell ref="A10:G10"/>
    <mergeCell ref="C4:G4"/>
    <mergeCell ref="A9:G9"/>
    <mergeCell ref="A25:B25"/>
    <mergeCell ref="A31:G31"/>
    <mergeCell ref="A7:B7"/>
    <mergeCell ref="A34:G34"/>
    <mergeCell ref="A27:B27"/>
    <mergeCell ref="A3:B3"/>
    <mergeCell ref="A36:G36"/>
    <mergeCell ref="A26:B26"/>
    <mergeCell ref="A1:G1"/>
    <mergeCell ref="A5:B5"/>
    <mergeCell ref="A4:B4"/>
    <mergeCell ref="C7:G7"/>
    <mergeCell ref="A29:B29"/>
    <mergeCell ref="A28:B28"/>
    <mergeCell ref="A2:G2"/>
    <mergeCell ref="A33:G33"/>
    <mergeCell ref="A47:G47"/>
    <mergeCell ref="C3:G3"/>
    <mergeCell ref="A23:G23"/>
  </mergeCells>
  <dataValidations count="1">
    <dataValidation sqref="E12:E21" showDropDown="0" showInputMessage="0" showErrorMessage="0" allowBlank="1" promptTitle="Status" prompt="Select a status" type="list">
      <formula1>"Active,Under Review,Retired,Decommissioned"</formula1>
      <formula2>0</formula2>
    </dataValidation>
  </dataValidations>
  <pageMargins left="0.75" right="0.75" top="1" bottom="1" header="0.511811023622047" footer="0.511811023622047"/>
  <pageSetup orientation="landscape" fitToHeight="0" fitToWidth="1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14" customWidth="1" min="4" max="4"/>
    <col width="30" customWidth="1" min="5" max="5"/>
    <col width="16" customWidth="1" min="6" max="6"/>
    <col width="15" customWidth="1" min="7" max="7"/>
  </cols>
  <sheetData>
    <row r="1" ht="25.5" customHeight="1">
      <c r="A1" s="10" t="inlineStr">
        <is>
          <t>Trust Relationships</t>
        </is>
      </c>
    </row>
    <row r="2">
      <c r="A2" s="9" t="inlineStr"/>
    </row>
    <row r="3"/>
    <row r="4">
      <c r="A4" s="24" t="inlineStr">
        <is>
          <t>Trust ID</t>
        </is>
      </c>
      <c r="B4" s="24" t="inlineStr">
        <is>
          <t>Systems in Trust</t>
        </is>
      </c>
      <c r="C4" s="24" t="inlineStr">
        <is>
          <t>Trust Type (SAML / certificate / API)</t>
        </is>
      </c>
      <c r="D4" s="24" t="inlineStr">
        <is>
          <t>Direction</t>
        </is>
      </c>
      <c r="E4" s="24" t="inlineStr">
        <is>
          <t>Justification</t>
        </is>
      </c>
      <c r="F4" s="24" t="inlineStr">
        <is>
          <t>Owner (Role)</t>
        </is>
      </c>
      <c r="G4" s="24" t="inlineStr">
        <is>
          <t>Last Reviewed</t>
        </is>
      </c>
    </row>
    <row r="5">
      <c r="A5" s="21" t="inlineStr">
        <is>
          <t>TR-01</t>
        </is>
      </c>
      <c r="B5" s="21" t="inlineStr">
        <is>
          <t>Wabash and State IDACS portal</t>
        </is>
      </c>
      <c r="C5" s="21" t="inlineStr">
        <is>
          <t>SAML federation</t>
        </is>
      </c>
      <c r="D5" s="21" t="inlineStr">
        <is>
          <t>Inbound</t>
        </is>
      </c>
      <c r="E5" s="21" t="inlineStr">
        <is>
          <t>State system access</t>
        </is>
      </c>
      <c r="F5" s="21" t="inlineStr">
        <is>
          <t>IT Support Lead</t>
        </is>
      </c>
      <c r="G5" s="21" t="inlineStr">
        <is>
          <t>2026-02-05</t>
        </is>
      </c>
    </row>
    <row r="6">
      <c r="A6" s="21" t="inlineStr">
        <is>
          <t>TR-02</t>
        </is>
      </c>
      <c r="B6" s="21" t="inlineStr">
        <is>
          <t>CAD and GIS SaaS</t>
        </is>
      </c>
      <c r="C6" s="21" t="inlineStr">
        <is>
          <t>Certificate</t>
        </is>
      </c>
      <c r="D6" s="21" t="inlineStr">
        <is>
          <t>Bidirectional</t>
        </is>
      </c>
      <c r="E6" s="21" t="inlineStr">
        <is>
          <t>Map data exchange</t>
        </is>
      </c>
      <c r="F6" s="21" t="inlineStr">
        <is>
          <t>IT Support Lead</t>
        </is>
      </c>
      <c r="G6" s="21" t="inlineStr">
        <is>
          <t>2026-02-05</t>
        </is>
      </c>
    </row>
    <row r="7">
      <c r="A7" s="21" t="n"/>
      <c r="B7" s="21" t="n"/>
      <c r="C7" s="21" t="n"/>
      <c r="D7" s="21" t="n"/>
      <c r="E7" s="21" t="n"/>
      <c r="F7" s="21" t="n"/>
      <c r="G7" s="21" t="n"/>
    </row>
    <row r="8">
      <c r="A8" s="21" t="n"/>
      <c r="B8" s="21" t="n"/>
      <c r="C8" s="21" t="n"/>
      <c r="D8" s="21" t="n"/>
      <c r="E8" s="21" t="n"/>
      <c r="F8" s="21" t="n"/>
      <c r="G8" s="21" t="n"/>
    </row>
    <row r="9">
      <c r="A9" s="21" t="n"/>
      <c r="B9" s="21" t="n"/>
      <c r="C9" s="21" t="n"/>
      <c r="D9" s="21" t="n"/>
      <c r="E9" s="21" t="n"/>
      <c r="F9" s="21" t="n"/>
      <c r="G9" s="21" t="n"/>
    </row>
    <row r="10">
      <c r="A10" s="21" t="n"/>
      <c r="B10" s="21" t="n"/>
      <c r="C10" s="21" t="n"/>
      <c r="D10" s="21" t="n"/>
      <c r="E10" s="21" t="n"/>
      <c r="F10" s="21" t="n"/>
      <c r="G10" s="21" t="n"/>
    </row>
    <row r="11">
      <c r="A11" s="21" t="n"/>
      <c r="B11" s="21" t="n"/>
      <c r="C11" s="21" t="n"/>
      <c r="D11" s="21" t="n"/>
      <c r="E11" s="21" t="n"/>
      <c r="F11" s="21" t="n"/>
      <c r="G11" s="21" t="n"/>
    </row>
    <row r="12">
      <c r="A12" s="21" t="n"/>
      <c r="B12" s="21" t="n"/>
      <c r="C12" s="21" t="n"/>
      <c r="D12" s="21" t="n"/>
      <c r="E12" s="21" t="n"/>
      <c r="F12" s="21" t="n"/>
      <c r="G12" s="21" t="n"/>
    </row>
    <row r="13">
      <c r="A13" s="21" t="n"/>
      <c r="B13" s="21" t="n"/>
      <c r="C13" s="21" t="n"/>
      <c r="D13" s="21" t="n"/>
      <c r="E13" s="21" t="n"/>
      <c r="F13" s="21" t="n"/>
      <c r="G13" s="21" t="n"/>
    </row>
    <row r="14">
      <c r="A14" s="21" t="n"/>
      <c r="B14" s="21" t="n"/>
      <c r="C14" s="21" t="n"/>
      <c r="D14" s="21" t="n"/>
      <c r="E14" s="21" t="n"/>
      <c r="F14" s="21" t="n"/>
      <c r="G14" s="21" t="n"/>
    </row>
  </sheetData>
  <mergeCells count="2">
    <mergeCell ref="A2:G2"/>
    <mergeCell ref="A1:G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2026-06-01T15:16:29Z</dcterms:created>
  <dcterms:modified xmlns:dcterms="http://purl.org/dc/terms/" xmlns:xsi="http://www.w3.org/2001/XMLSchema-instance" xsi:type="dcterms:W3CDTF">2026-07-14T16:21:34Z</dcterms:modified>
  <cp:lastModifiedBy>Jason Jeffares</cp:lastModifiedBy>
  <cp:revision>0</cp:revision>
</cp:coreProperties>
</file>
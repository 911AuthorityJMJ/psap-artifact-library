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2" customWidth="1" min="1" max="1"/>
    <col width="24" customWidth="1" min="2" max="2"/>
    <col width="40" customWidth="1" min="3" max="3"/>
    <col width="22" customWidth="1" min="4" max="4"/>
    <col width="16" customWidth="1" min="5" max="5"/>
    <col width="16" customWidth="1" min="6" max="7"/>
    <col width="18" customWidth="1" min="7" max="7"/>
  </cols>
  <sheetData>
    <row r="1" ht="25.5" customHeight="1">
      <c r="A1" s="10" t="inlineStr">
        <is>
          <t>Privileged &amp; Service Account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the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Security Coordinator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2026-02-01      Next Review 2027-02-01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25" t="inlineStr">
        <is>
          <t>Confidential / CJIS</t>
        </is>
      </c>
      <c r="D6" s="23" t="n"/>
      <c r="E6" s="23" t="n"/>
      <c r="F6" s="23" t="n"/>
      <c r="G6" s="22" t="n"/>
    </row>
    <row r="7" ht="34.7" customHeight="1">
      <c r="A7" s="8" t="inlineStr">
        <is>
          <t>Review cadence</t>
        </is>
      </c>
      <c r="B7" s="22" t="n"/>
      <c r="C7" s="7" t="inlineStr">
        <is>
          <t>Reviewed at least quarterly by the Security Coordinator; entries kept current as accounts are added, changed, or decommissioned.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11" t="inlineStr">
        <is>
          <t>Account ID</t>
        </is>
      </c>
      <c r="B11" s="11" t="inlineStr">
        <is>
          <t>Account name</t>
        </is>
      </c>
      <c r="C11" s="11" t="inlineStr">
        <is>
          <t>Account type / systems in scope</t>
        </is>
      </c>
      <c r="D11" s="11" t="inlineStr">
        <is>
          <t>Custodian</t>
        </is>
      </c>
      <c r="E11" s="11" t="inlineStr">
        <is>
          <t>Status</t>
        </is>
      </c>
      <c r="F11" s="11" t="inlineStr">
        <is>
          <t>Last reviewed / rotated</t>
        </is>
      </c>
      <c r="G11" s="11" t="inlineStr">
        <is>
          <t>Next review / rotation due</t>
        </is>
      </c>
    </row>
    <row r="12" ht="15" customHeight="1">
      <c r="A12" s="12" t="inlineStr">
        <is>
          <t>ADM-01</t>
        </is>
      </c>
      <c r="B12" s="12" t="inlineStr">
        <is>
          <t>ad-admin</t>
        </is>
      </c>
      <c r="C12" s="12" t="inlineStr">
        <is>
          <t>User-admin; Active Directory; MFA</t>
        </is>
      </c>
      <c r="D12" s="12" t="inlineStr">
        <is>
          <t>Priya Nair, County IT</t>
        </is>
      </c>
      <c r="E12" s="12" t="inlineStr">
        <is>
          <t>Active</t>
        </is>
      </c>
      <c r="F12" s="26">
        <v>46054</v>
      </c>
      <c r="G12" s="26">
        <v>46143</v>
      </c>
    </row>
    <row r="13" ht="15" customHeight="1">
      <c r="A13" s="12" t="inlineStr">
        <is>
          <t>ADM-02</t>
        </is>
      </c>
      <c r="B13" s="12" t="inlineStr">
        <is>
          <t>cad-admin</t>
        </is>
      </c>
      <c r="C13" s="12" t="inlineStr">
        <is>
          <t>User-admin; CAD/RMS; MFA</t>
        </is>
      </c>
      <c r="D13" s="12" t="inlineStr">
        <is>
          <t>Priya Nair, County IT</t>
        </is>
      </c>
      <c r="E13" s="12" t="inlineStr">
        <is>
          <t>Active</t>
        </is>
      </c>
      <c r="F13" s="26">
        <v>46054</v>
      </c>
      <c r="G13" s="26">
        <v>46143</v>
      </c>
    </row>
    <row r="14" ht="34.7" customHeight="1">
      <c r="A14" s="12" t="inlineStr">
        <is>
          <t>SVC-01</t>
        </is>
      </c>
      <c r="B14" s="12" t="inlineStr">
        <is>
          <t>svc-cad-sql</t>
        </is>
      </c>
      <c r="C14" s="12" t="inlineStr">
        <is>
          <t>Service; CAD database; rotated 90 days</t>
        </is>
      </c>
      <c r="D14" s="12" t="inlineStr">
        <is>
          <t>Dana Mercer, Security Coordinator</t>
        </is>
      </c>
      <c r="E14" s="12" t="inlineStr">
        <is>
          <t>Active</t>
        </is>
      </c>
      <c r="F14" s="26">
        <v>46054</v>
      </c>
      <c r="G14" s="26">
        <v>46143</v>
      </c>
    </row>
    <row r="15" ht="34.7" customHeight="1">
      <c r="A15" s="12" t="inlineStr">
        <is>
          <t>SVC-02</t>
        </is>
      </c>
      <c r="B15" s="12" t="inlineStr">
        <is>
          <t>svc-backup</t>
        </is>
      </c>
      <c r="C15" s="12" t="inlineStr">
        <is>
          <t>Service; backup system; key</t>
        </is>
      </c>
      <c r="D15" s="12" t="inlineStr">
        <is>
          <t>Dana Mercer, Security Coordinator</t>
        </is>
      </c>
      <c r="E15" s="12" t="inlineStr">
        <is>
          <t>Active</t>
        </is>
      </c>
      <c r="F15" s="26">
        <v>45992</v>
      </c>
      <c r="G15" s="26">
        <v>46082</v>
      </c>
    </row>
    <row r="16" ht="15" customHeight="1">
      <c r="A16" s="12" t="inlineStr">
        <is>
          <t>CLD-01</t>
        </is>
      </c>
      <c r="B16" s="12" t="inlineStr">
        <is>
          <t>m365-admin</t>
        </is>
      </c>
      <c r="C16" s="12" t="inlineStr">
        <is>
          <t>Cloud; Microsoft 365 tenant; MFA</t>
        </is>
      </c>
      <c r="D16" s="12" t="inlineStr">
        <is>
          <t>Priya Nair, County IT</t>
        </is>
      </c>
      <c r="E16" s="12" t="inlineStr">
        <is>
          <t>Disabled</t>
        </is>
      </c>
      <c r="F16" s="26">
        <v>46054</v>
      </c>
      <c r="G16" s="26">
        <v>46143</v>
      </c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2"/>
    <row r="23" ht="15" customHeight="1">
      <c r="A23" s="5" t="inlineStr">
        <is>
          <t>Summary (as of 2026-04-02)</t>
        </is>
      </c>
    </row>
    <row r="24" ht="15" customHeight="1">
      <c r="A24" s="4" t="inlineStr">
        <is>
          <t>Total entries</t>
        </is>
      </c>
      <c r="B24" s="24" t="n"/>
      <c r="C24" s="13">
        <f>COUNTA(A12:A21)</f>
      </c>
    </row>
    <row r="25" ht="15" customHeight="1">
      <c r="A25" s="4" t="inlineStr">
        <is>
          <t>Active</t>
        </is>
      </c>
      <c r="B25" s="24" t="n"/>
      <c r="C25" s="13">
        <f>COUNTIF(E12:E21,"Active")</f>
      </c>
    </row>
    <row r="26" ht="15" customHeight="1">
      <c r="A26" s="4" t="inlineStr">
        <is>
          <t>Disabled</t>
        </is>
      </c>
      <c r="B26" s="24" t="n"/>
      <c r="C26" s="13">
        <f>COUNTIF(E12:E21,"Disabled")</f>
      </c>
    </row>
    <row r="27" ht="15" customHeight="1">
      <c r="A27" s="4" t="inlineStr">
        <is>
          <t>Decommissioned</t>
        </is>
      </c>
      <c r="B27" s="24" t="n"/>
      <c r="C27" s="13">
        <f>COUNTIF(E12:E21,"Decommissioned")</f>
      </c>
    </row>
    <row r="28" ht="15" customHeight="1">
      <c r="A28" s="4" t="inlineStr">
        <is>
          <t>Past due for review</t>
        </is>
      </c>
      <c r="B28" s="24" t="n"/>
      <c r="C28" s="13">
        <f>COUNTIF(G12:G21,"&lt;"&amp;DATE(2026,4,2))</f>
      </c>
    </row>
    <row r="29" ht="15" customHeight="1">
      <c r="A29" s="4" t="n"/>
      <c r="B29" s="24" t="n"/>
      <c r="C29" s="13" t="n"/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§6.2.1 (Account Management); §6.5 (Rights &amp; Privileges)</t>
        </is>
      </c>
    </row>
    <row r="34" ht="15" customHeight="1">
      <c r="A34" s="3" t="inlineStr">
        <is>
          <t>NIST SP 800-53 Rev. 5: AC-2, AC-3, AC-6, IA-2, IA-4, IA-5</t>
        </is>
      </c>
    </row>
    <row r="35" ht="15" customHeight="1">
      <c r="A35" s="3" t="inlineStr">
        <is>
          <t>Indiana statutes and administrative code: 240 IAC 5</t>
        </is>
      </c>
    </row>
    <row r="36" ht="15" customHeight="1">
      <c r="A36" s="3" t="inlineStr">
        <is>
          <t>CJIS Security Policy v5.9: §5.5 (Access Control); §5.6 (Identification &amp; Authentication)</t>
        </is>
      </c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15" customHeight="1">
      <c r="A40" s="12" t="inlineStr">
        <is>
          <t>Director</t>
        </is>
      </c>
      <c r="B40" s="15" t="inlineStr">
        <is>
          <t>Anthony Reyes</t>
        </is>
      </c>
      <c r="C40" s="15" t="inlineStr">
        <is>
          <t>/s/ Anthony Reyes</t>
        </is>
      </c>
      <c r="D40" s="27">
        <v>46054</v>
      </c>
    </row>
    <row r="41" ht="50.5" customHeight="1">
      <c r="A41" s="12" t="inlineStr">
        <is>
          <t>Owner (Security Coordinator)</t>
        </is>
      </c>
      <c r="B41" s="15" t="inlineStr">
        <is>
          <t>(on file)</t>
        </is>
      </c>
      <c r="C41" s="15" t="inlineStr">
        <is>
          <t>(on file)</t>
        </is>
      </c>
      <c r="D41" s="27">
        <v>46054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6">
        <v>46054</v>
      </c>
      <c r="C45" s="12" t="inlineStr">
        <is>
          <t>Security Coordinator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2026-07-27T14:36:09Z</dcterms:modified>
  <cp:lastModifiedBy/>
  <cp:revision>0</cp:revision>
  <dc:title xmlns:dc="http://purl.org/dc/elements/1.1/">Privileged &amp; Service Account Inventory - EXAMPLE - M</dc:title>
</cp:coreProperties>
</file>
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8" customWidth="1" min="2" max="2"/>
    <col width="42" customWidth="1" min="3" max="3"/>
    <col width="20" customWidth="1" min="4" max="4"/>
    <col width="14" customWidth="1" min="5" max="5"/>
    <col width="15" customWidth="1" min="6" max="7"/>
    <col width="16" customWidth="1" min="7" max="7"/>
  </cols>
  <sheetData>
    <row r="1" ht="25.5" customHeight="1">
      <c r="A1" s="10" t="inlineStr">
        <is>
          <t>Environmental Sensor Inventory &amp; Alert Configuration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Wabash Valley Communications under the authority of the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IT Support Lead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2026-03-03      Next Review 2027-03-03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25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annually by the IT Support Lead; entries kept current as sensors are added, changed, or retired.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11" t="inlineStr">
        <is>
          <t>Sensor ID</t>
        </is>
      </c>
      <c r="B11" s="11" t="inlineStr">
        <is>
          <t>Sensor type &amp; location</t>
        </is>
      </c>
      <c r="C11" s="11" t="inlineStr">
        <is>
          <t>Alert configuration (method / threshold / routing)</t>
        </is>
      </c>
      <c r="D11" s="11" t="inlineStr">
        <is>
          <t>Owner (role)</t>
        </is>
      </c>
      <c r="E11" s="11" t="inlineStr">
        <is>
          <t>Status</t>
        </is>
      </c>
      <c r="F11" s="11" t="inlineStr">
        <is>
          <t>Last reviewed</t>
        </is>
      </c>
      <c r="G11" s="11" t="inlineStr">
        <is>
          <t>Next review due</t>
        </is>
      </c>
    </row>
    <row r="12" ht="15" customHeight="1">
      <c r="A12" s="12" t="inlineStr">
        <is>
          <t>ENV-01</t>
        </is>
      </c>
      <c r="B12" s="12" t="inlineStr">
        <is>
          <t>Temperature, server room</t>
        </is>
      </c>
      <c r="C12" s="12" t="inlineStr">
        <is>
          <t>Continuous; over 27 C; SMS + paging</t>
        </is>
      </c>
      <c r="D12" s="12" t="inlineStr">
        <is>
          <t>IT Support Lead</t>
        </is>
      </c>
      <c r="E12" s="12" t="inlineStr">
        <is>
          <t>Active</t>
        </is>
      </c>
      <c r="F12" s="26">
        <v>46084</v>
      </c>
      <c r="G12" s="26">
        <v>46449</v>
      </c>
    </row>
    <row r="13" ht="15" customHeight="1">
      <c r="A13" s="12" t="inlineStr">
        <is>
          <t>ENV-02</t>
        </is>
      </c>
      <c r="B13" s="12" t="inlineStr">
        <is>
          <t>Humidity, server room</t>
        </is>
      </c>
      <c r="C13" s="12" t="inlineStr">
        <is>
          <t>Continuous; outside 30-60%; dashboard</t>
        </is>
      </c>
      <c r="D13" s="12" t="inlineStr">
        <is>
          <t>IT Support Lead</t>
        </is>
      </c>
      <c r="E13" s="12" t="inlineStr">
        <is>
          <t>Active</t>
        </is>
      </c>
      <c r="F13" s="26">
        <v>46084</v>
      </c>
      <c r="G13" s="26">
        <v>46449</v>
      </c>
    </row>
    <row r="14" ht="15" customHeight="1">
      <c r="A14" s="12" t="inlineStr">
        <is>
          <t>ENV-03</t>
        </is>
      </c>
      <c r="B14" s="12" t="inlineStr">
        <is>
          <t>Water, IDF closet</t>
        </is>
      </c>
      <c r="C14" s="12" t="inlineStr">
        <is>
          <t>Continuous; any detection; SMS + paging</t>
        </is>
      </c>
      <c r="D14" s="12" t="inlineStr">
        <is>
          <t>IT Support Lead</t>
        </is>
      </c>
      <c r="E14" s="12" t="inlineStr">
        <is>
          <t>Active</t>
        </is>
      </c>
      <c r="F14" s="26">
        <v>46084</v>
      </c>
      <c r="G14" s="26">
        <v>46449</v>
      </c>
    </row>
    <row r="15" ht="15" customHeight="1">
      <c r="A15" s="12" t="inlineStr">
        <is>
          <t>ENV-04</t>
        </is>
      </c>
      <c r="B15" s="12" t="inlineStr">
        <is>
          <t>Smoke, server room and IDF</t>
        </is>
      </c>
      <c r="C15" s="12" t="inlineStr">
        <is>
          <t>Continuous; any detection; alarm + SMS</t>
        </is>
      </c>
      <c r="D15" s="12" t="inlineStr">
        <is>
          <t>IT Support Lead</t>
        </is>
      </c>
      <c r="E15" s="12" t="inlineStr">
        <is>
          <t>Active</t>
        </is>
      </c>
      <c r="F15" s="26">
        <v>46084</v>
      </c>
      <c r="G15" s="26">
        <v>46449</v>
      </c>
    </row>
    <row r="16" ht="15" customHeight="1">
      <c r="A16" s="12" t="inlineStr">
        <is>
          <t>ENV-05</t>
        </is>
      </c>
      <c r="B16" s="12" t="inlineStr">
        <is>
          <t>Temperature, radio room</t>
        </is>
      </c>
      <c r="C16" s="12" t="inlineStr">
        <is>
          <t>Continuous; over 27 C; SMS</t>
        </is>
      </c>
      <c r="D16" s="12" t="inlineStr">
        <is>
          <t>IT Support Lead</t>
        </is>
      </c>
      <c r="E16" s="12" t="inlineStr">
        <is>
          <t>Faulty</t>
        </is>
      </c>
      <c r="F16" s="26">
        <v>46084</v>
      </c>
      <c r="G16" s="26">
        <v>46273</v>
      </c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2"/>
    <row r="23" ht="15" customHeight="1">
      <c r="A23" s="5" t="inlineStr">
        <is>
          <t>Summary (as of 2026-09-09)</t>
        </is>
      </c>
    </row>
    <row r="24" ht="15" customHeight="1">
      <c r="A24" s="4" t="inlineStr">
        <is>
          <t>Total entries</t>
        </is>
      </c>
      <c r="B24" s="24" t="n"/>
      <c r="C24" s="13">
        <f>COUNTA(A12:A21)</f>
      </c>
    </row>
    <row r="25" ht="15" customHeight="1">
      <c r="A25" s="4" t="inlineStr">
        <is>
          <t>Active</t>
        </is>
      </c>
      <c r="B25" s="24" t="n"/>
      <c r="C25" s="13">
        <f>COUNTIF(E12:E21,"Active")</f>
      </c>
    </row>
    <row r="26" ht="15" customHeight="1">
      <c r="A26" s="4" t="inlineStr">
        <is>
          <t>Faulty</t>
        </is>
      </c>
      <c r="B26" s="24" t="n"/>
      <c r="C26" s="13">
        <f>COUNTIF(E12:E21,"Faulty")</f>
      </c>
    </row>
    <row r="27" ht="15" customHeight="1">
      <c r="A27" s="4" t="inlineStr">
        <is>
          <t>Retired</t>
        </is>
      </c>
      <c r="B27" s="24" t="n"/>
      <c r="C27" s="13">
        <f>COUNTIF(E12:E21,"Retired")</f>
      </c>
    </row>
    <row r="28" ht="15" customHeight="1">
      <c r="A28" s="4" t="inlineStr">
        <is>
          <t>Past due for review</t>
        </is>
      </c>
      <c r="B28" s="24" t="n"/>
      <c r="C28" s="13">
        <f>COUNTIF(G12:G21,"&lt;"&amp;DATE(2026,9,9))</f>
      </c>
    </row>
    <row r="29" ht="15" customHeight="1">
      <c r="A29" s="4" t="n"/>
      <c r="B29" s="24" t="n"/>
      <c r="C29" s="13" t="n"/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§6.7.2 (Environmental Controls)</t>
        </is>
      </c>
    </row>
    <row r="34" ht="15" customHeight="1">
      <c r="A34" s="3" t="inlineStr">
        <is>
          <t>NIST SP 800-53 Rev. 5: PE-13, PE-14, PE-15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15" customHeight="1">
      <c r="A40" s="12" t="inlineStr">
        <is>
          <t>Director</t>
        </is>
      </c>
      <c r="B40" s="15" t="inlineStr">
        <is>
          <t>Anthony Reyes</t>
        </is>
      </c>
      <c r="C40" s="15" t="inlineStr">
        <is>
          <t>/s/ Anthony Reyes</t>
        </is>
      </c>
      <c r="D40" s="27">
        <v>46084</v>
      </c>
    </row>
    <row r="41" ht="50.5" customHeight="1">
      <c r="A41" s="12" t="inlineStr">
        <is>
          <t>Owner (IT Support Lead)</t>
        </is>
      </c>
      <c r="B41" s="15" t="inlineStr">
        <is>
          <t>(on file)</t>
        </is>
      </c>
      <c r="C41" s="15" t="inlineStr">
        <is>
          <t>(on file)</t>
        </is>
      </c>
      <c r="D41" s="27">
        <v>46084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6">
        <v>46084</v>
      </c>
      <c r="C45" s="12" t="inlineStr">
        <is>
          <t>IT Support Lead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2026-07-27T14:36:09Z</dcterms:modified>
  <cp:lastModifiedBy/>
  <cp:revision>0</cp:revision>
  <dc:title xmlns:dc="http://purl.org/dc/elements/1.1/">Environmental Sensor Inventory &amp; Alert Configuration - EXAMPLE - M</dc:title>
</cp:coreProperties>
</file>
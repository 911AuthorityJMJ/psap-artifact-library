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bookViews>
  <sheets>
    <sheet name="Register" sheetId="1" state="visible" r:id="rId3"/>
  </sheets>
  <calcPr calcId="191029"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<sst xmlns="http://schemas.openxmlformats.org/spreadsheetml/2006/main" count="117" uniqueCount="84">
  <si>
    <t xml:space="preserve">Hickory County 911   ·   Worked Example</t>
  </si>
  <si>
    <t xml:space="preserve">Data Inventory / Data Map</t>
  </si>
  <si>
    <t xml:space="preserve">Authority</t>
  </si>
  <si>
    <t xml:space="preserve">Adopted by Hickory County 911 under the authority of Tracy Holloway, Director.</t>
  </si>
  <si>
    <t xml:space="preserve">Owner</t>
  </si>
  <si>
    <t xml:space="preserve">County IT Administrator</t>
  </si>
  <si>
    <t xml:space="preserve">Version / Dates</t>
  </si>
  <si>
    <t xml:space="preserve">Version 1.0      Effective Date 2026-02-17      Next Review 2027-02-17</t>
  </si>
  <si>
    <t xml:space="preserve">Classification</t>
  </si>
  <si>
    <t xml:space="preserve">Restricted / CJIS</t>
  </si>
  <si>
    <t xml:space="preserve">Reconciliation cadence</t>
  </si>
  <si>
    <t xml:space="preserve">Reconciled annually by the County IT Administrator; entries kept current as systems change.</t>
  </si>
  <si>
    <t xml:space="preserve">Register Entries</t>
  </si>
  <si>
    <t xml:space="preserve">ID</t>
  </si>
  <si>
    <t xml:space="preserve">Data Type / Category</t>
  </si>
  <si>
    <t xml:space="preserve">Owning System</t>
  </si>
  <si>
    <t xml:space="preserve">Data Owner (Role)</t>
  </si>
  <si>
    <t xml:space="preserve">Encryption Mechanism</t>
  </si>
  <si>
    <t xml:space="preserve">Access-Restriction Method</t>
  </si>
  <si>
    <t xml:space="preserve">Retention Reference</t>
  </si>
  <si>
    <t xml:space="preserve">Lifecycle Stage</t>
  </si>
  <si>
    <t xml:space="preserve">Last Reconciled</t>
  </si>
  <si>
    <t xml:space="preserve">Next Reconcile Due</t>
  </si>
  <si>
    <t xml:space="preserve">DAT-001</t>
  </si>
  <si>
    <t xml:space="preserve">Caller location data (ALI)</t>
  </si>
  <si>
    <t xml:space="preserve">CAD / ESInet (provider-managed)</t>
  </si>
  <si>
    <t xml:space="preserve">Restricted</t>
  </si>
  <si>
    <t xml:space="preserve">TLS in transit; provider-managed encryption</t>
  </si>
  <si>
    <t xml:space="preserve">Dispatch roles only</t>
  </si>
  <si>
    <t xml:space="preserve">Data Retention Schedule</t>
  </si>
  <si>
    <t xml:space="preserve">Active</t>
  </si>
  <si>
    <t xml:space="preserve">2026-02-10</t>
  </si>
  <si>
    <t xml:space="preserve">2027-02-10</t>
  </si>
  <si>
    <t xml:space="preserve">DAT-002</t>
  </si>
  <si>
    <t xml:space="preserve">Criminal justice information (CHRI)</t>
  </si>
  <si>
    <t xml:space="preserve">IDACS workstation</t>
  </si>
  <si>
    <t xml:space="preserve">Confidential / CJIS</t>
  </si>
  <si>
    <t xml:space="preserve">FIPS-validated encryption</t>
  </si>
  <si>
    <t xml:space="preserve">IDACS-authorized users only</t>
  </si>
  <si>
    <t xml:space="preserve">Retention per CJIS / IDACS</t>
  </si>
  <si>
    <t xml:space="preserve">DAT-003</t>
  </si>
  <si>
    <t xml:space="preserve">Recorded 911 call audio</t>
  </si>
  <si>
    <t xml:space="preserve">Logging recorder</t>
  </si>
  <si>
    <t xml:space="preserve">Encrypted at rest</t>
  </si>
  <si>
    <t xml:space="preserve">Supervisor + records roles</t>
  </si>
  <si>
    <t xml:space="preserve">DAT-004</t>
  </si>
  <si>
    <t xml:space="preserve">CAD incident records</t>
  </si>
  <si>
    <t xml:space="preserve">CAD server</t>
  </si>
  <si>
    <t xml:space="preserve">Dispatch + records roles</t>
  </si>
  <si>
    <t xml:space="preserve">DAT-005</t>
  </si>
  <si>
    <t xml:space="preserve">Personnel &amp; screening records</t>
  </si>
  <si>
    <t xml:space="preserve">County HR system</t>
  </si>
  <si>
    <t xml:space="preserve">Confidential</t>
  </si>
  <si>
    <t xml:space="preserve">Director</t>
  </si>
  <si>
    <t xml:space="preserve">Director + county HR only</t>
  </si>
  <si>
    <t xml:space="preserve">Per county records retention</t>
  </si>
  <si>
    <t>Summary (as of 2026-08-23)</t>
  </si>
  <si>
    <t xml:space="preserve">Total data types</t>
  </si>
  <si>
    <t xml:space="preserve">Internal</t>
  </si>
  <si>
    <t xml:space="preserve">CJIS-bearing types</t>
  </si>
  <si>
    <t xml:space="preserve">Past due for reconciliation</t>
  </si>
  <si>
    <t xml:space="preserve">CJIS Handling</t>
  </si>
  <si>
    <t xml:space="preserve">CJIS Handling: Data types marked “/ CJIS” contain CJIS-regulated data, reached through IDACS. CJIS Security Policy v5.9 §5.5 (Access Control) and §5.10 (System and Communications Protection), and 240 IAC 5, apply to those types in addition to the controls recorded above.</t>
  </si>
  <si>
    <t xml:space="preserve">Downstream Use</t>
  </si>
  <si>
    <t xml:space="preserve">This data map sets the classification and protection baseline that the Data Retention Schedule, Document Handling Standard, and Encryption Standards Document implement.</t>
  </si>
  <si>
    <t xml:space="preserve">Source Authority</t>
  </si>
  <si>
    <t xml:space="preserve">NENA-STA-040.2-2024: §4.1.4, §4.2.2, §5.4</t>
  </si>
  <si>
    <t xml:space="preserve">NIST SP 800-53 Rev. 5: CM-8, MP-4, PM-5, RA-2, SC-28</t>
  </si>
  <si>
    <t xml:space="preserve">Indiana statutes and administrative code: IC 24-4.9: Data Breach Notification; 240 IAC 5: IDACS Security (for CJIS-bearing types)</t>
  </si>
  <si>
    <t xml:space="preserve">CJIS Security Policy v5.9: §5.5, §5.10  (CJIS-regulated data in scope via IDACS)</t>
  </si>
  <si>
    <t xml:space="preserve">Approval Signatures</t>
  </si>
  <si>
    <t xml:space="preserve">Role</t>
  </si>
  <si>
    <t xml:space="preserve">Name</t>
  </si>
  <si>
    <t xml:space="preserve">Signature</t>
  </si>
  <si>
    <t xml:space="preserve">Date</t>
  </si>
  <si>
    <t xml:space="preserve">Tracy Holloway</t>
  </si>
  <si>
    <t xml:space="preserve">2026-02-17</t>
  </si>
  <si>
    <t xml:space="preserve">(on file)</t>
  </si>
  <si>
    <t xml:space="preserve">Revision History</t>
  </si>
  <si>
    <t xml:space="preserve">Version</t>
  </si>
  <si>
    <t xml:space="preserve">Author</t>
  </si>
  <si>
    <t xml:space="preserve">Summary of Change</t>
  </si>
  <si>
    <t xml:space="preserve">1.0</t>
  </si>
  <si>
    <t xml:space="preserve">Initial issue</t>
  </si>
</sst>
</file>

<file path=xl/styles.xml><?xml version="1.0" encoding="utf-8"?>
<styleSheet xmlns="http://schemas.openxmlformats.org/spreadsheetml/2006/main">
  <numFmts count="2">
    <numFmt numFmtId="164" formatCode="General"/>
    <numFmt numFmtId="165" formatCode="yyyy-mm-dd"/>
  </numFmts>
  <fonts count="8">
    <font>
      <sz val="11"/>
      <color theme="1"/>
      <name val="Aptos"/>
      <family val="2"/>
      <charset val="1"/>
    </font>
    <font>
      <sz val="10"/>
      <name val="Aptos"/>
      <family val="0"/>
    </font>
    <font>
      <sz val="10"/>
      <name val="Aptos"/>
      <family val="0"/>
    </font>
    <font>
      <sz val="10"/>
      <name val="Aptos"/>
      <family val="0"/>
    </font>
    <font>
      <b val="true"/>
      <sz val="12"/>
      <color rgb="FF1B3A5C"/>
      <name val="Aptos"/>
      <family val="0"/>
      <charset val="1"/>
    </font>
    <font>
      <b val="true"/>
      <sz val="16"/>
      <color rgb="FFFFFFFF"/>
      <name val="Aptos"/>
      <family val="0"/>
      <charset val="1"/>
    </font>
    <font>
      <sz val="12"/>
      <color rgb="FF000000"/>
      <name val="Aptos"/>
      <family val="0"/>
      <charset val="1"/>
    </font>
    <font>
      <b val="true"/>
      <sz val="12"/>
      <color rgb="FFFFFFFF"/>
      <name val="Aptos"/>
      <family val="0"/>
      <charset val="1"/>
    </font>
  </fonts>
  <fills count="4">
    <fill>
      <patternFill patternType="none"/>
    </fill>
    <fill>
      <patternFill patternType="gray125"/>
    </fill>
    <fill>
      <patternFill patternType="solid">
        <fgColor rgb="FF1B3A5C"/>
        <bgColor rgb="FF333333"/>
      </patternFill>
    </fill>
    <fill>
      <patternFill patternType="solid">
        <fgColor rgb="FFEEF2F7"/>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applyNumberFormat="1" numFmtId="165" fontId="6" fillId="0" borderId="1" xfId="0" applyFont="true" applyBorder="true" applyAlignment="true" applyProtection="false">
      <alignment horizontal="left" vertical="center" textRotation="0" wrapText="true" indent="0" shrinkToFit="false"/>
      <protection locked="true" hidden="false"/>
    </xf>
    <xf applyNumberFormat="1" numFmtId="165"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EF2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3A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10</xdr:col>
      <xdr:colOff>0</xdr:colOff>
      <xdr:row>0</xdr:row>
      <xdr:rowOff>0</xdr:rowOff>
    </xdr:from>
    <xdr:ext cx="857250" cy="857250"/>
    <xdr:pic>
      <xdr:nvPicPr>
        <xdr:cNvPr id="1" name="Image 1" descr="Picture"/>
        <xdr:cNvPicPr/>
      </xdr:nvPicPr>
      <xdr:blipFill>
        <a:blip r:embed="rId1"/>
        <a:stretch/>
      </xdr:blipFill>
      <xdr:spPr>
        <a:xfrm>
          <a:off x="0" y="0"/>
          <a:ext cx="552240" cy="552240"/>
        </a:xfrm>
        <a:prstGeom prst="rect">
          <a:avLst/>
        </a:prstGeom>
        <a:noFill/>
        <a:ln w="0">
          <a:noFill/>
        </a:ln>
      </xdr:spPr>
    </xdr:pic>
    <xdr:clientData/>
  </xdr:oneCellAnchor>
  <xdr:twoCellAnchor editAs="oneCell">
    <xdr:from>
      <xdr:col>1</xdr:col>
      <xdr:colOff>0</xdr:colOff>
      <xdr:row>1</xdr:row>
      <xdr:rowOff>0</xdr:rowOff>
    </xdr:from>
    <xdr:to>
      <xdr:col>4</xdr:col>
      <xdr:colOff>491400</xdr:colOff>
      <xdr:row>10</xdr:row>
      <xdr:rowOff>437760</xdr:rowOff>
    </xdr:to>
    <xdr:pic>
      <xdr:nvPicPr>
        <xdr:cNvPr id="2" name="Image 2" descr="Picture"/>
        <xdr:cNvPicPr/>
      </xdr:nvPicPr>
      <xdr:blipFill>
        <a:blip r:embed="rId2"/>
        <a:stretch/>
      </xdr:blipFill>
      <xdr:spPr>
        <a:xfrm>
          <a:off x="704880" y="581040"/>
          <a:ext cx="5143320" cy="3238200"/>
        </a:xfrm>
        <a:prstGeom prst="rect">
          <a:avLst/>
        </a:prstGeom>
        <a:noFill/>
        <a:ln w="0">
          <a:noFill/>
        </a:ln>
      </xdr:spPr>
    </xdr:pic>
    <xdr:clientData/>
  </xdr:twoCellAnchor>
  <xdr:twoCellAnchor editAs="oneCell">
    <xdr:from>
      <xdr:col>1</xdr:col>
      <xdr:colOff>0</xdr:colOff>
      <xdr:row>19</xdr:row>
      <xdr:rowOff>0</xdr:rowOff>
    </xdr:from>
    <xdr:to>
      <xdr:col>4</xdr:col>
      <xdr:colOff>491400</xdr:colOff>
      <xdr:row>31</xdr:row>
      <xdr:rowOff>190440</xdr:rowOff>
    </xdr:to>
    <xdr:pic>
      <xdr:nvPicPr>
        <xdr:cNvPr id="3" name="Image 3" descr="Picture"/>
        <xdr:cNvPicPr/>
      </xdr:nvPicPr>
      <xdr:blipFill>
        <a:blip r:embed="rId3"/>
        <a:stretch/>
      </xdr:blipFill>
      <xdr:spPr>
        <a:xfrm>
          <a:off x="704880" y="6743880"/>
          <a:ext cx="5143320" cy="3238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5"/>
  <sheetViews>
    <sheetView showFormulas="false" showGridLines="0" showRowColHeaders="true" showZeros="true" rightToLeft="false" tabSelected="true" showOutlineSymbols="true" defaultGridColor="true" view="normal" colorId="64" zoomScale="100" zoomScaleNormal="100" zoomScalePageLayoutView="100" workbookViewId="0">
      <pane xSplit="0" ySplit="11" topLeftCell="A12" activePane="bottomLeft" state="frozen"/>
      <selection pane="topLeft" activeCell="A12" activeCellId="0" sqref="A12"/>
      <selection pane="bottomLeft" activeCell="A12" activeCellId="0" sqref="A12"/>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22"/>
    <col collapsed="false" customWidth="true" hidden="false" outlineLevel="0" max="4" min="4" style="0" width="18"/>
    <col collapsed="false" customWidth="true" hidden="false" outlineLevel="0" max="5" min="5" style="0" width="20"/>
    <col collapsed="false" customWidth="true" hidden="false" outlineLevel="0" max="8" min="6" style="0" width="24"/>
    <col collapsed="false" customWidth="true" hidden="false" outlineLevel="0" max="11" min="9" style="0" width="16"/>
  </cols>
  <sheetData>
    <row r="1" customFormat="false" ht="45.75" hidden="false" customHeight="true" outlineLevel="0" collapsed="false">
      <c r="C1" s="1" t="s">
        <v>0</v>
      </c>
      <c r="D1" s="1"/>
      <c r="E1" s="1"/>
      <c r="F1" s="1"/>
      <c r="G1" s="1"/>
      <c r="H1" s="1"/>
      <c r="I1" s="1"/>
      <c r="J1" s="1"/>
      <c r="K1" s="1"/>
    </row>
    <row r="2" customFormat="false" ht="25.5" hidden="false" customHeight="true" outlineLevel="0" collapsed="false">
      <c r="A2" s="2" t="s">
        <v>1</v>
      </c>
      <c r="B2" s="2"/>
      <c r="C2" s="2"/>
      <c r="D2" s="2"/>
      <c r="E2" s="2"/>
      <c r="F2" s="2"/>
      <c r="G2" s="2"/>
      <c r="H2" s="2"/>
      <c r="I2" s="2"/>
      <c r="J2" s="2"/>
      <c r="K2" s="2"/>
    </row>
    <row r="4" customFormat="false" ht="30" hidden="false" customHeight="true" outlineLevel="0" collapsed="false">
      <c r="A4" s="3" t="s">
        <v>2</v>
      </c>
      <c r="B4" s="3"/>
      <c r="C4" s="4" t="s">
        <v>3</v>
      </c>
      <c r="D4" s="4"/>
      <c r="E4" s="4"/>
      <c r="F4" s="4"/>
      <c r="G4" s="4"/>
      <c r="H4" s="4"/>
      <c r="I4" s="4"/>
      <c r="J4" s="4"/>
      <c r="K4" s="4"/>
    </row>
    <row r="5" customFormat="false" ht="30" hidden="false" customHeight="true" outlineLevel="0" collapsed="false">
      <c r="A5" s="3" t="s">
        <v>4</v>
      </c>
      <c r="B5" s="3"/>
      <c r="C5" s="4" t="s">
        <v>5</v>
      </c>
      <c r="D5" s="4"/>
      <c r="E5" s="4"/>
      <c r="F5" s="4"/>
      <c r="G5" s="4"/>
      <c r="H5" s="4"/>
      <c r="I5" s="4"/>
      <c r="J5" s="4"/>
      <c r="K5" s="4"/>
    </row>
    <row r="6" customFormat="false" ht="30" hidden="false" customHeight="true" outlineLevel="0" collapsed="false">
      <c r="A6" s="3" t="s">
        <v>6</v>
      </c>
      <c r="B6" s="3"/>
      <c r="C6" s="4" t="s">
        <v>7</v>
      </c>
      <c r="D6" s="4"/>
      <c r="E6" s="4"/>
      <c r="F6" s="4"/>
      <c r="G6" s="4"/>
      <c r="H6" s="4"/>
      <c r="I6" s="4"/>
      <c r="J6" s="4"/>
      <c r="K6" s="4"/>
    </row>
    <row r="7" customFormat="false" ht="30" hidden="false" customHeight="true" outlineLevel="0" collapsed="false">
      <c r="A7" s="3" t="s">
        <v>8</v>
      </c>
      <c r="B7" s="3"/>
      <c r="C7" s="4" t="s">
        <v>9</v>
      </c>
      <c r="D7" s="4"/>
      <c r="E7" s="4"/>
      <c r="F7" s="4"/>
      <c r="G7" s="4"/>
      <c r="H7" s="4"/>
      <c r="I7" s="4"/>
      <c r="J7" s="4"/>
      <c r="K7" s="4"/>
    </row>
    <row r="8" customFormat="false" ht="30" hidden="false" customHeight="true" outlineLevel="0" collapsed="false">
      <c r="A8" s="3" t="s">
        <v>10</v>
      </c>
      <c r="B8" s="3"/>
      <c r="C8" s="4" t="s">
        <v>11</v>
      </c>
      <c r="D8" s="4"/>
      <c r="E8" s="4"/>
      <c r="F8" s="4"/>
      <c r="G8" s="4"/>
      <c r="H8" s="4"/>
      <c r="I8" s="4"/>
      <c r="J8" s="4"/>
      <c r="K8" s="4"/>
    </row>
    <row r="10" customFormat="false" ht="15" hidden="false" customHeight="false" outlineLevel="0" collapsed="false">
      <c r="A10" s="5" t="s">
        <v>12</v>
      </c>
      <c r="B10" s="5"/>
      <c r="C10" s="5"/>
      <c r="D10" s="5"/>
      <c r="E10" s="5"/>
      <c r="F10" s="5"/>
      <c r="G10" s="5"/>
      <c r="H10" s="5"/>
      <c r="I10" s="5"/>
      <c r="J10" s="5"/>
      <c r="K10" s="5"/>
    </row>
    <row r="11" customFormat="false" ht="39.75" hidden="false" customHeight="true" outlineLevel="0" collapsed="false">
      <c r="A11" s="6" t="s">
        <v>13</v>
      </c>
      <c r="B11" s="6" t="s">
        <v>14</v>
      </c>
      <c r="C11" s="6" t="s">
        <v>15</v>
      </c>
      <c r="D11" s="6" t="s">
        <v>8</v>
      </c>
      <c r="E11" s="6" t="s">
        <v>16</v>
      </c>
      <c r="F11" s="6" t="s">
        <v>17</v>
      </c>
      <c r="G11" s="6" t="s">
        <v>18</v>
      </c>
      <c r="H11" s="6" t="s">
        <v>19</v>
      </c>
      <c r="I11" s="6" t="s">
        <v>20</v>
      </c>
      <c r="J11" s="6" t="s">
        <v>21</v>
      </c>
      <c r="K11" s="6" t="s">
        <v>22</v>
      </c>
    </row>
    <row r="12" customFormat="false" hidden="false" outlineLevel="0" collapsed="false" ht="50.5" customHeight="1">
      <c r="A12" s="7" t="s">
        <v>23</v>
      </c>
      <c r="B12" s="7" t="s">
        <v>24</v>
      </c>
      <c r="C12" s="7" t="s">
        <v>25</v>
      </c>
      <c r="D12" s="7" t="s">
        <v>26</v>
      </c>
      <c r="E12" s="7" t="s">
        <v>5</v>
      </c>
      <c r="F12" s="7" t="s">
        <v>27</v>
      </c>
      <c r="G12" s="7" t="s">
        <v>28</v>
      </c>
      <c r="H12" s="7" t="s">
        <v>29</v>
      </c>
      <c r="I12" s="7" t="s">
        <v>30</v>
      </c>
      <c r="J12" s="13">
        <v>46063</v>
      </c>
      <c r="K12" s="13">
        <v>46428</v>
      </c>
    </row>
    <row r="13" customFormat="false" ht="36" hidden="false" customHeight="true" outlineLevel="0" collapsed="false">
      <c r="A13" s="7" t="s">
        <v>33</v>
      </c>
      <c r="B13" s="7" t="s">
        <v>34</v>
      </c>
      <c r="C13" s="7" t="s">
        <v>35</v>
      </c>
      <c r="D13" s="7" t="s">
        <v>36</v>
      </c>
      <c r="E13" s="7" t="s">
        <v>5</v>
      </c>
      <c r="F13" s="7" t="s">
        <v>37</v>
      </c>
      <c r="G13" s="7" t="s">
        <v>38</v>
      </c>
      <c r="H13" s="7" t="s">
        <v>39</v>
      </c>
      <c r="I13" s="7" t="s">
        <v>30</v>
      </c>
      <c r="J13" s="13">
        <v>46063</v>
      </c>
      <c r="K13" s="13">
        <v>46428</v>
      </c>
    </row>
    <row r="14" customFormat="false" ht="36" hidden="false" customHeight="true" outlineLevel="0" collapsed="false">
      <c r="A14" s="7" t="s">
        <v>40</v>
      </c>
      <c r="B14" s="7" t="s">
        <v>41</v>
      </c>
      <c r="C14" s="7" t="s">
        <v>42</v>
      </c>
      <c r="D14" s="7" t="s">
        <v>26</v>
      </c>
      <c r="E14" s="7" t="s">
        <v>5</v>
      </c>
      <c r="F14" s="7" t="s">
        <v>43</v>
      </c>
      <c r="G14" s="7" t="s">
        <v>44</v>
      </c>
      <c r="H14" s="7" t="s">
        <v>29</v>
      </c>
      <c r="I14" s="7" t="s">
        <v>30</v>
      </c>
      <c r="J14" s="13">
        <v>46063</v>
      </c>
      <c r="K14" s="13">
        <v>46428</v>
      </c>
    </row>
    <row r="15" customFormat="false" ht="36" hidden="false" customHeight="true" outlineLevel="0" collapsed="false">
      <c r="A15" s="7" t="s">
        <v>45</v>
      </c>
      <c r="B15" s="7" t="s">
        <v>46</v>
      </c>
      <c r="C15" s="7" t="s">
        <v>47</v>
      </c>
      <c r="D15" s="7" t="s">
        <v>26</v>
      </c>
      <c r="E15" s="7" t="s">
        <v>5</v>
      </c>
      <c r="F15" s="7" t="s">
        <v>43</v>
      </c>
      <c r="G15" s="7" t="s">
        <v>48</v>
      </c>
      <c r="H15" s="7" t="s">
        <v>29</v>
      </c>
      <c r="I15" s="7" t="s">
        <v>30</v>
      </c>
      <c r="J15" s="13">
        <v>46063</v>
      </c>
      <c r="K15" s="13">
        <v>46428</v>
      </c>
    </row>
    <row r="16" customFormat="false" ht="36" hidden="false" customHeight="true" outlineLevel="0" collapsed="false">
      <c r="A16" s="7" t="s">
        <v>49</v>
      </c>
      <c r="B16" s="7" t="s">
        <v>50</v>
      </c>
      <c r="C16" s="7" t="s">
        <v>51</v>
      </c>
      <c r="D16" s="7" t="s">
        <v>52</v>
      </c>
      <c r="E16" s="7" t="s">
        <v>53</v>
      </c>
      <c r="F16" s="7" t="s">
        <v>43</v>
      </c>
      <c r="G16" s="7" t="s">
        <v>54</v>
      </c>
      <c r="H16" s="7" t="s">
        <v>55</v>
      </c>
      <c r="I16" s="7" t="s">
        <v>30</v>
      </c>
      <c r="J16" s="13">
        <v>46063</v>
      </c>
      <c r="K16" s="13">
        <v>46256</v>
      </c>
    </row>
    <row r="18" customFormat="false" ht="15" hidden="false" customHeight="false" outlineLevel="0" collapsed="false">
      <c r="A18" s="5" t="s">
        <v>56</v>
      </c>
      <c r="B18" s="5"/>
      <c r="C18" s="5"/>
      <c r="D18" s="5"/>
      <c r="E18" s="5"/>
      <c r="F18" s="5"/>
      <c r="G18" s="5"/>
      <c r="H18" s="5"/>
      <c r="I18" s="5"/>
      <c r="J18" s="5"/>
      <c r="K18" s="5"/>
    </row>
    <row r="19" customFormat="false" ht="15" hidden="false" customHeight="false" outlineLevel="0" collapsed="false">
      <c r="A19" s="8" t="s">
        <v>57</v>
      </c>
      <c r="C19" s="8" t="n">
        <f aca="false">COUNTA(A12:A16)</f>
      </c>
    </row>
    <row r="20" customFormat="false" ht="15" hidden="false" customHeight="false" outlineLevel="0" collapsed="false">
      <c r="A20" s="8" t="s">
        <v>58</v>
      </c>
      <c r="C20" s="8" t="n">
        <f aca="false">COUNTIF(D12:D16,"*Internal*")</f>
      </c>
    </row>
    <row r="21" customFormat="false" ht="15" hidden="false" customHeight="false" outlineLevel="0" collapsed="false">
      <c r="A21" s="8" t="s">
        <v>26</v>
      </c>
      <c r="C21" s="8" t="n">
        <f aca="false">COUNTIF(D12:D16,"*Restricted*")</f>
      </c>
    </row>
    <row r="22" customFormat="false" ht="15" hidden="false" customHeight="false" outlineLevel="0" collapsed="false">
      <c r="A22" s="8" t="s">
        <v>52</v>
      </c>
      <c r="C22" s="8" t="n">
        <f aca="false">COUNTIF(D12:D16,"*Confidential*")</f>
      </c>
    </row>
    <row r="23" customFormat="false" ht="15" hidden="false" customHeight="false" outlineLevel="0" collapsed="false">
      <c r="A23" s="8" t="s">
        <v>59</v>
      </c>
      <c r="C23" s="8" t="n">
        <f aca="false">COUNTIF(D12:D16,"*CJIS*")</f>
      </c>
    </row>
    <row r="24" customFormat="false" ht="15" hidden="false" customHeight="false" outlineLevel="0" collapsed="false">
      <c r="A24" s="8" t="s">
        <v>60</v>
      </c>
      <c r="C24" s="8" t="n">
        <f aca="true">COUNTIF(K12:K16,"&lt;"&amp;DATE(2026,8,23))</f>
      </c>
    </row>
    <row r="26" customFormat="false" ht="15" hidden="false" customHeight="false" outlineLevel="0" collapsed="false">
      <c r="A26" s="5" t="s">
        <v>61</v>
      </c>
      <c r="B26" s="5"/>
      <c r="C26" s="5"/>
      <c r="D26" s="5"/>
      <c r="E26" s="5"/>
      <c r="F26" s="5"/>
      <c r="G26" s="5"/>
      <c r="H26" s="5"/>
      <c r="I26" s="5"/>
      <c r="J26" s="5"/>
      <c r="K26" s="5"/>
    </row>
    <row r="27" customFormat="false" ht="60" hidden="false" customHeight="true" outlineLevel="0" collapsed="false">
      <c r="A27" s="9" t="s">
        <v>62</v>
      </c>
      <c r="B27" s="9"/>
      <c r="C27" s="9"/>
      <c r="D27" s="9"/>
      <c r="E27" s="9"/>
      <c r="F27" s="9"/>
      <c r="G27" s="9"/>
      <c r="H27" s="9"/>
      <c r="I27" s="9"/>
      <c r="J27" s="9"/>
      <c r="K27" s="9"/>
    </row>
    <row r="29" customFormat="false" ht="15" hidden="false" customHeight="false" outlineLevel="0" collapsed="false">
      <c r="A29" s="5" t="s">
        <v>63</v>
      </c>
      <c r="B29" s="5"/>
      <c r="C29" s="5"/>
      <c r="D29" s="5"/>
      <c r="E29" s="5"/>
      <c r="F29" s="5"/>
      <c r="G29" s="5"/>
      <c r="H29" s="5"/>
      <c r="I29" s="5"/>
      <c r="J29" s="5"/>
      <c r="K29" s="5"/>
    </row>
    <row r="30" customFormat="false" ht="30" hidden="false" customHeight="true" outlineLevel="0" collapsed="false">
      <c r="A30" s="9" t="s">
        <v>64</v>
      </c>
      <c r="B30" s="9"/>
      <c r="C30" s="9"/>
      <c r="D30" s="9"/>
      <c r="E30" s="9"/>
      <c r="F30" s="9"/>
      <c r="G30" s="9"/>
      <c r="H30" s="9"/>
      <c r="I30" s="9"/>
      <c r="J30" s="9"/>
      <c r="K30" s="9"/>
    </row>
    <row r="32" customFormat="false" ht="15" hidden="false" customHeight="false" outlineLevel="0" collapsed="false">
      <c r="A32" s="5" t="s">
        <v>65</v>
      </c>
      <c r="B32" s="5"/>
      <c r="C32" s="5"/>
      <c r="D32" s="5"/>
      <c r="E32" s="5"/>
      <c r="F32" s="5"/>
      <c r="G32" s="5"/>
      <c r="H32" s="5"/>
      <c r="I32" s="5"/>
      <c r="J32" s="5"/>
      <c r="K32" s="5"/>
    </row>
    <row r="33" customFormat="false" ht="15" hidden="false" customHeight="false" outlineLevel="0" collapsed="false">
      <c r="A33" s="10" t="s">
        <v>66</v>
      </c>
      <c r="B33" s="10"/>
      <c r="C33" s="10"/>
      <c r="D33" s="10"/>
      <c r="E33" s="10"/>
      <c r="F33" s="10"/>
      <c r="G33" s="10"/>
      <c r="H33" s="10"/>
      <c r="I33" s="10"/>
      <c r="J33" s="10"/>
      <c r="K33" s="10"/>
    </row>
    <row r="34" customFormat="false" ht="15" hidden="false" customHeight="false" outlineLevel="0" collapsed="false">
      <c r="A34" s="10" t="s">
        <v>67</v>
      </c>
      <c r="B34" s="10"/>
      <c r="C34" s="10"/>
      <c r="D34" s="10"/>
      <c r="E34" s="10"/>
      <c r="F34" s="10"/>
      <c r="G34" s="10"/>
      <c r="H34" s="10"/>
      <c r="I34" s="10"/>
      <c r="J34" s="10"/>
      <c r="K34" s="10"/>
    </row>
    <row r="35" customFormat="false" ht="15" hidden="false" customHeight="false" outlineLevel="0" collapsed="false">
      <c r="A35" s="10" t="s">
        <v>68</v>
      </c>
      <c r="B35" s="10"/>
      <c r="C35" s="10"/>
      <c r="D35" s="10"/>
      <c r="E35" s="10"/>
      <c r="F35" s="10"/>
      <c r="G35" s="10"/>
      <c r="H35" s="10"/>
      <c r="I35" s="10"/>
      <c r="J35" s="10"/>
      <c r="K35" s="10"/>
    </row>
    <row r="36" customFormat="false" ht="15" hidden="false" customHeight="false" outlineLevel="0" collapsed="false">
      <c r="A36" s="10" t="s">
        <v>69</v>
      </c>
      <c r="B36" s="10"/>
      <c r="C36" s="10"/>
      <c r="D36" s="10"/>
      <c r="E36" s="10"/>
      <c r="F36" s="10"/>
      <c r="G36" s="10"/>
      <c r="H36" s="10"/>
      <c r="I36" s="10"/>
      <c r="J36" s="10"/>
      <c r="K36" s="10"/>
    </row>
    <row r="38" customFormat="false" ht="15" hidden="false" customHeight="false" outlineLevel="0" collapsed="false">
      <c r="A38" s="5" t="s">
        <v>70</v>
      </c>
      <c r="B38" s="5"/>
      <c r="C38" s="5"/>
      <c r="D38" s="5"/>
      <c r="E38" s="5"/>
      <c r="F38" s="5"/>
      <c r="G38" s="5"/>
      <c r="H38" s="5"/>
      <c r="I38" s="5"/>
      <c r="J38" s="5"/>
      <c r="K38" s="5"/>
    </row>
    <row r="39" customFormat="false" ht="15" hidden="false" customHeight="false" outlineLevel="0" collapsed="false">
      <c r="A39" s="11" t="s">
        <v>71</v>
      </c>
      <c r="B39" s="11" t="s">
        <v>72</v>
      </c>
      <c r="C39" s="11" t="s">
        <v>73</v>
      </c>
      <c r="D39" s="11" t="s">
        <v>74</v>
      </c>
    </row>
    <row r="40" customFormat="false" ht="25.5" hidden="false" customHeight="true" outlineLevel="0" collapsed="false">
      <c r="A40" s="12" t="s">
        <v>53</v>
      </c>
      <c r="B40" s="12" t="s">
        <v>75</v>
      </c>
      <c r="C40" s="12" t="s">
        <v>75</v>
      </c>
      <c r="D40" s="14">
        <v>46070</v>
      </c>
    </row>
    <row r="41" customFormat="false" ht="25.5" hidden="false" customHeight="true" outlineLevel="0" collapsed="false">
      <c r="A41" s="12" t="s">
        <v>5</v>
      </c>
      <c r="B41" s="12" t="s">
        <v>77</v>
      </c>
      <c r="C41" s="12" t="s">
        <v>77</v>
      </c>
      <c r="D41" s="14">
        <v>46070</v>
      </c>
    </row>
    <row r="43" customFormat="false" ht="15" hidden="false" customHeight="false" outlineLevel="0" collapsed="false">
      <c r="A43" s="5" t="s">
        <v>78</v>
      </c>
      <c r="B43" s="5"/>
      <c r="C43" s="5"/>
      <c r="D43" s="5"/>
      <c r="E43" s="5"/>
      <c r="F43" s="5"/>
      <c r="G43" s="5"/>
      <c r="H43" s="5"/>
      <c r="I43" s="5"/>
      <c r="J43" s="5"/>
      <c r="K43" s="5"/>
    </row>
    <row r="44" customFormat="false" ht="15" hidden="false" customHeight="false" outlineLevel="0" collapsed="false">
      <c r="A44" s="11" t="s">
        <v>79</v>
      </c>
      <c r="B44" s="11" t="s">
        <v>74</v>
      </c>
      <c r="C44" s="11" t="s">
        <v>80</v>
      </c>
      <c r="D44" s="11" t="s">
        <v>81</v>
      </c>
    </row>
    <row r="45" customFormat="false" ht="15" hidden="false" customHeight="false" outlineLevel="0" collapsed="false">
      <c r="A45" s="12" t="s">
        <v>82</v>
      </c>
      <c r="B45" s="14">
        <v>46070</v>
      </c>
      <c r="C45" s="12" t="s">
        <v>5</v>
      </c>
      <c r="D45" s="12" t="s">
        <v>83</v>
      </c>
    </row>
  </sheetData>
  <mergeCells count="25">
    <mergeCell ref="C1:K1"/>
    <mergeCell ref="A2:K2"/>
    <mergeCell ref="A4:B4"/>
    <mergeCell ref="C4:K4"/>
    <mergeCell ref="A5:B5"/>
    <mergeCell ref="C5:K5"/>
    <mergeCell ref="A6:B6"/>
    <mergeCell ref="C6:K6"/>
    <mergeCell ref="A7:B7"/>
    <mergeCell ref="C7:K7"/>
    <mergeCell ref="A8:B8"/>
    <mergeCell ref="C8:K8"/>
    <mergeCell ref="A10:K10"/>
    <mergeCell ref="A18:K18"/>
    <mergeCell ref="A26:K26"/>
    <mergeCell ref="A27:K27"/>
    <mergeCell ref="A29:K29"/>
    <mergeCell ref="A30:K30"/>
    <mergeCell ref="A32:K32"/>
    <mergeCell ref="A33:K33"/>
    <mergeCell ref="A34:K34"/>
    <mergeCell ref="A35:K35"/>
    <mergeCell ref="A36:K36"/>
    <mergeCell ref="A38:K38"/>
    <mergeCell ref="A43:K43"/>
  </mergeCells>
  <printOptions headings="false" gridLines="false" gridLinesSet="true" horizontalCentered="false" verticalCentered="false"/>
  <pageMargins left="0.75" right="0.75" top="1" bottom="1" header="0.511811023622047" footer="0.511811023622047"/>
  <pageSetup paperSize="1" orientation="landscape" fitToWidth="1" fitToHeight="0"/>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2026-06-04T20:28:45Z</dcterms:created>
  <dc:creator>911 Authority in partnership with IN911</dc:creator>
  <dc:description/>
  <dc:language>en-US</dc:language>
  <cp:lastModifiedBy/>
  <dcterms:modified xsi:type="dcterms:W3CDTF">2026-06-04T20:28:45Z</dcterms:modified>
  <cp:revision>0</cp:revision>
  <dc:subject/>
  <dc:title>Data Inventory / Data Map - EXAMPLE - S</dc:title>
</cp:coreProperties>
</file>

<file path=docProps/custom.xml><?xml version="1.0" encoding="utf-8"?>
<Properties xmlns="http://schemas.openxmlformats.org/officeDocument/2006/custom-properties" xmlns:vt="http://schemas.openxmlformats.org/officeDocument/2006/docPropsVTypes"/>
</file>
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utoFilterDateGrouping="1"/>
  </bookViews>
  <sheets>
    <sheet xmlns:r="http://schemas.openxmlformats.org/officeDocument/2006/relationships" name="Patch Schedule" sheetId="1" state="visible" r:id="rId1"/>
    <sheet xmlns:r="http://schemas.openxmlformats.org/officeDocument/2006/relationships" name="Patch Tracking Log" sheetId="2" state="visible" r:id="rId2"/>
  </sheets>
  <definedNames>
    <definedName name="_xlnm.Print_Titles" localSheetId="0">'Patch Schedule'!$10:$10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0" topLeftCell="A11" activePane="bottomLeft" state="frozen"/>
      <selection pane="bottomLeft" activeCell="A11" sqref="A11"/>
    </sheetView>
  </sheetViews>
  <sheetFormatPr baseColWidth="10" defaultColWidth="8.6640625" defaultRowHeight="15"/>
  <cols>
    <col width="30" customWidth="1" min="1" max="1"/>
    <col width="30" customWidth="1" min="2" max="2"/>
    <col width="20" customWidth="1" min="3" max="3"/>
    <col width="18" customWidth="1" min="4" max="4"/>
    <col width="20" customWidth="1" min="5" max="6"/>
    <col width="20" customWidth="1" min="6" max="6"/>
  </cols>
  <sheetData>
    <row r="1" ht="25.5" customHeight="1">
      <c r="A1" s="10" t="inlineStr">
        <is>
          <t>Patch Management Schedule &amp; Tracking Log</t>
        </is>
      </c>
    </row>
    <row r="2" ht="15" customHeight="1">
      <c r="A2" s="9" t="n"/>
    </row>
    <row r="3" ht="34.7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Dr. Lisa Park, Director.</t>
        </is>
      </c>
      <c r="D3" s="23" t="n"/>
      <c r="E3" s="23" t="n"/>
      <c r="F3" s="22" t="n"/>
    </row>
    <row r="4" ht="15" customHeight="1">
      <c r="A4" s="8" t="inlineStr">
        <is>
          <t>Owner</t>
        </is>
      </c>
      <c r="B4" s="22" t="n"/>
      <c r="C4" s="7" t="inlineStr">
        <is>
          <t>Information Security Analyst</t>
        </is>
      </c>
      <c r="D4" s="23" t="n"/>
      <c r="E4" s="23" t="n"/>
      <c r="F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      Effective Date 2026-01-26      Next Review 2027-01-26</t>
        </is>
      </c>
      <c r="D5" s="23" t="n"/>
      <c r="E5" s="23" t="n"/>
      <c r="F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2" t="n"/>
    </row>
    <row r="7"/>
    <row r="8" ht="15" customHeight="1">
      <c r="A8" s="5" t="inlineStr">
        <is>
          <t>Patch Schedule</t>
        </is>
      </c>
    </row>
    <row r="9" ht="15" customHeight="1">
      <c r="A9" s="9" t="inlineStr"/>
    </row>
    <row r="10" ht="44" customHeight="1">
      <c r="A10" s="11" t="inlineStr">
        <is>
          <t>System Type / Criticality</t>
        </is>
      </c>
      <c r="B10" s="11" t="inlineStr">
        <is>
          <t>Patch Source &amp; Test Requirement</t>
        </is>
      </c>
      <c r="C10" s="11" t="inlineStr">
        <is>
          <t>Frequency</t>
        </is>
      </c>
      <c r="D10" s="11" t="inlineStr">
        <is>
          <t>Owner (Role)</t>
        </is>
      </c>
      <c r="E10" s="11" t="inlineStr">
        <is>
          <t>Next Due</t>
        </is>
      </c>
      <c r="F10" s="11" t="inlineStr">
        <is>
          <t>Status</t>
        </is>
      </c>
    </row>
    <row r="11" ht="34.7" customHeight="1">
      <c r="A11" s="12" t="inlineStr">
        <is>
          <t>CAD (Critical, redundant)</t>
        </is>
      </c>
      <c r="B11" s="12" t="inlineStr">
        <is>
          <t>Vendor; test environment</t>
        </is>
      </c>
      <c r="C11" s="12" t="inlineStr">
        <is>
          <t>Monthly; critical within 72h</t>
        </is>
      </c>
      <c r="D11" s="12" t="inlineStr">
        <is>
          <t>Information Security Analyst</t>
        </is>
      </c>
      <c r="E11" s="26">
        <v>46082</v>
      </c>
      <c r="F11" s="12" t="inlineStr">
        <is>
          <t>Due soon</t>
        </is>
      </c>
    </row>
    <row r="12" ht="34.7" customHeight="1">
      <c r="A12" s="12" t="inlineStr">
        <is>
          <t>Integrations GIS/RMS/ALI (Critical)</t>
        </is>
      </c>
      <c r="B12" s="12" t="inlineStr">
        <is>
          <t>Vendor; test environment</t>
        </is>
      </c>
      <c r="C12" s="12" t="inlineStr">
        <is>
          <t>Monthly</t>
        </is>
      </c>
      <c r="D12" s="12" t="inlineStr">
        <is>
          <t>Information Security Analyst</t>
        </is>
      </c>
      <c r="E12" s="26">
        <v>46082</v>
      </c>
      <c r="F12" s="12" t="inlineStr">
        <is>
          <t>Due soon</t>
        </is>
      </c>
    </row>
    <row r="13" ht="19.5" customHeight="1">
      <c r="A13" s="12" t="inlineStr">
        <is>
          <t>Servers (Critical)</t>
        </is>
      </c>
      <c r="B13" s="12" t="inlineStr">
        <is>
          <t>Patch tool; staged</t>
        </is>
      </c>
      <c r="C13" s="12" t="inlineStr">
        <is>
          <t>Monthly</t>
        </is>
      </c>
      <c r="D13" s="12" t="inlineStr">
        <is>
          <t>IT team</t>
        </is>
      </c>
      <c r="E13" s="26">
        <v>46082</v>
      </c>
      <c r="F13" s="12" t="inlineStr">
        <is>
          <t>Due soon</t>
        </is>
      </c>
    </row>
    <row r="14" ht="19.5" customHeight="1">
      <c r="A14" s="12" t="inlineStr">
        <is>
          <t>Workstations (Standard)</t>
        </is>
      </c>
      <c r="B14" s="12" t="inlineStr">
        <is>
          <t>Patch tool</t>
        </is>
      </c>
      <c r="C14" s="12" t="inlineStr">
        <is>
          <t>Monthly</t>
        </is>
      </c>
      <c r="D14" s="12" t="inlineStr">
        <is>
          <t>IT team</t>
        </is>
      </c>
      <c r="E14" s="26">
        <v>46073</v>
      </c>
      <c r="F14" s="12" t="inlineStr">
        <is>
          <t>Overdue</t>
        </is>
      </c>
    </row>
    <row r="15" ht="34.7" customHeight="1">
      <c r="A15" s="12" t="inlineStr">
        <is>
          <t>Network / SBC (Critical)</t>
        </is>
      </c>
      <c r="B15" s="12" t="inlineStr">
        <is>
          <t>Vendor firmware; test first</t>
        </is>
      </c>
      <c r="C15" s="12" t="inlineStr">
        <is>
          <t>Quarterly</t>
        </is>
      </c>
      <c r="D15" s="12" t="inlineStr">
        <is>
          <t>Information Security Analyst</t>
        </is>
      </c>
      <c r="E15" s="26">
        <v>46113</v>
      </c>
      <c r="F15" s="12" t="inlineStr">
        <is>
          <t>On track</t>
        </is>
      </c>
    </row>
    <row r="16" ht="34.7" customHeight="1">
      <c r="A16" s="12" t="inlineStr">
        <is>
          <t>DNS software (Critical)</t>
        </is>
      </c>
      <c r="B16" s="12" t="inlineStr">
        <is>
          <t>Vendor; test first</t>
        </is>
      </c>
      <c r="C16" s="12" t="inlineStr">
        <is>
          <t>Monthly</t>
        </is>
      </c>
      <c r="D16" s="12" t="inlineStr">
        <is>
          <t>Information Security Analyst</t>
        </is>
      </c>
      <c r="E16" s="26">
        <v>46082</v>
      </c>
      <c r="F16" s="12" t="inlineStr">
        <is>
          <t>Due soon</t>
        </is>
      </c>
    </row>
    <row r="17" ht="19.5" customHeight="1">
      <c r="A17" s="12" t="n"/>
      <c r="B17" s="12" t="n"/>
      <c r="C17" s="12" t="n"/>
      <c r="D17" s="12" t="n"/>
      <c r="E17" s="12" t="n"/>
      <c r="F17" s="12" t="n"/>
    </row>
    <row r="18" ht="19.5" customHeight="1">
      <c r="A18" s="12" t="n"/>
      <c r="B18" s="12" t="n"/>
      <c r="C18" s="12" t="n"/>
      <c r="D18" s="12" t="n"/>
      <c r="E18" s="12" t="n"/>
      <c r="F18" s="12" t="n"/>
    </row>
    <row r="19" ht="19.5" customHeight="1">
      <c r="A19" s="12" t="n"/>
      <c r="B19" s="12" t="n"/>
      <c r="C19" s="12" t="n"/>
      <c r="D19" s="12" t="n"/>
      <c r="E19" s="12" t="n"/>
      <c r="F19" s="12" t="n"/>
    </row>
    <row r="20" ht="19.5" customHeight="1">
      <c r="A20" s="12" t="n"/>
      <c r="B20" s="12" t="n"/>
      <c r="C20" s="12" t="n"/>
      <c r="D20" s="12" t="n"/>
      <c r="E20" s="12" t="n"/>
      <c r="F20" s="12" t="n"/>
    </row>
    <row r="21"/>
    <row r="22" ht="15" customHeight="1">
      <c r="A22" s="5" t="inlineStr">
        <is>
          <t>Summary (as of 2026-03-01)</t>
        </is>
      </c>
    </row>
    <row r="23" ht="15" customHeight="1">
      <c r="A23" s="4" t="inlineStr">
        <is>
          <t>Patch cadences tracked</t>
        </is>
      </c>
      <c r="B23" s="24" t="n"/>
      <c r="C23" s="13">
        <f>COUNTA(A11:A20)</f>
      </c>
    </row>
    <row r="24" ht="15" customHeight="1">
      <c r="A24" s="4" t="inlineStr">
        <is>
          <t>Overdue (flagged)</t>
        </is>
      </c>
      <c r="B24" s="24" t="n"/>
      <c r="C24" s="13">
        <f>COUNTIF(F11:F20,"Overdue")</f>
      </c>
    </row>
    <row r="25" ht="15" customHeight="1">
      <c r="A25" s="4" t="inlineStr">
        <is>
          <t>Past due by date</t>
        </is>
      </c>
      <c r="B25" s="24" t="n"/>
      <c r="C25" s="13">
        <f>COUNTIF(E11:E20,"&lt;"&amp;DATE(2026,3,1))</f>
      </c>
    </row>
    <row r="26"/>
    <row r="27" ht="15" customHeight="1">
      <c r="A27" s="5" t="inlineStr">
        <is>
          <t>Escalation for Missed Items</t>
        </is>
      </c>
    </row>
    <row r="28" ht="15" customHeight="1">
      <c r="A28" s="9" t="inlineStr"/>
    </row>
    <row r="29" ht="34.7" customHeight="1">
      <c r="A29" s="3" t="inlineStr">
        <is>
          <t>When a scheduled patch cycle is missed or a critical patch is overdue, the Information Security Analyst is notified within 24 hours and the update is prioritized for the next window.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§5.5, §6.4</t>
        </is>
      </c>
    </row>
    <row r="34" ht="15" customHeight="1">
      <c r="A34" s="3" t="inlineStr">
        <is>
          <t>NIST SP 800-53 Rev. 5: CM-3, MA-2, SI-2</t>
        </is>
      </c>
    </row>
    <row r="35" ht="15" customHeight="1">
      <c r="A35" s="3" t="n"/>
    </row>
    <row r="36" ht="15" customHeight="1">
      <c r="A36" s="3" t="n"/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Information Security Analyst</t>
        </is>
      </c>
      <c r="B41" s="15" t="inlineStr">
        <is>
          <t>Raymond Osei</t>
        </is>
      </c>
      <c r="C41" s="15" t="inlineStr">
        <is>
          <t>/s/ Raymond Osei</t>
        </is>
      </c>
      <c r="D41" s="27">
        <v>46048</v>
      </c>
      <c r="E41" s="15" t="n"/>
      <c r="F41" s="15" t="n"/>
    </row>
    <row r="42" ht="17" customHeight="1">
      <c r="A42" s="12" t="inlineStr">
        <is>
          <t>Director</t>
        </is>
      </c>
      <c r="B42" s="15" t="inlineStr">
        <is>
          <t>Dr. Lisa Park</t>
        </is>
      </c>
      <c r="C42" s="15" t="inlineStr">
        <is>
          <t>/s/ Dr. Lisa Park</t>
        </is>
      </c>
      <c r="D42" s="27">
        <v>46048</v>
      </c>
      <c r="E42" s="15" t="n"/>
      <c r="F42" s="15" t="n"/>
    </row>
    <row r="43"/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inlineStr">
        <is>
          <t>1</t>
        </is>
      </c>
      <c r="B46" s="26">
        <v>46048</v>
      </c>
      <c r="C46" s="12" t="inlineStr">
        <is>
          <t>Raymond Osei</t>
        </is>
      </c>
      <c r="D46" s="12" t="inlineStr">
        <is>
          <t>Initial adoption</t>
        </is>
      </c>
      <c r="E46" s="12" t="n"/>
      <c r="F46" s="12" t="n"/>
    </row>
    <row r="47"/>
    <row r="48">
      <c r="A48"/>
    </row>
  </sheetData>
  <mergeCells count="27">
    <mergeCell ref="A24:B24"/>
    <mergeCell ref="A27:F27"/>
    <mergeCell ref="A6:B6"/>
    <mergeCell ref="A33:F33"/>
    <mergeCell ref="A2:F2"/>
    <mergeCell ref="C3:F3"/>
    <mergeCell ref="A25:B25"/>
    <mergeCell ref="A32:F32"/>
    <mergeCell ref="C6:F6"/>
    <mergeCell ref="A8:F8"/>
    <mergeCell ref="A22:F22"/>
    <mergeCell ref="A35:F35"/>
    <mergeCell ref="C5:F5"/>
    <mergeCell ref="A3:B3"/>
    <mergeCell ref="A29:F29"/>
    <mergeCell ref="A28:F28"/>
    <mergeCell ref="A44:F44"/>
    <mergeCell ref="C4:F4"/>
    <mergeCell ref="A9:F9"/>
    <mergeCell ref="A5:B5"/>
    <mergeCell ref="A31:F31"/>
    <mergeCell ref="A34:F34"/>
    <mergeCell ref="A23:B23"/>
    <mergeCell ref="A39:F39"/>
    <mergeCell ref="A4:B4"/>
    <mergeCell ref="A36:F36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Patch Tracking Log</t>
        </is>
      </c>
    </row>
    <row r="2">
      <c r="A2" s="9" t="inlineStr"/>
    </row>
    <row r="3"/>
    <row r="4" ht="34.7" customHeight="1">
      <c r="A4" s="25" t="inlineStr">
        <is>
          <t>Date Applied</t>
        </is>
      </c>
      <c r="B4" s="25" t="inlineStr">
        <is>
          <t>System / Asset ID</t>
        </is>
      </c>
      <c r="C4" s="25" t="inlineStr">
        <is>
          <t>Patch / Update</t>
        </is>
      </c>
      <c r="D4" s="25" t="inlineStr">
        <is>
          <t>Criticality</t>
        </is>
      </c>
      <c r="E4" s="25" t="inlineStr">
        <is>
          <t>Approver (Role)</t>
        </is>
      </c>
      <c r="F4" s="25" t="inlineStr">
        <is>
          <t>Outcome</t>
        </is>
      </c>
    </row>
    <row r="5" ht="34.7" customHeight="1">
      <c r="A5" s="28">
        <v>46055</v>
      </c>
      <c r="B5" s="21" t="inlineStr">
        <is>
          <t>CAD (Center A/B)</t>
        </is>
      </c>
      <c r="C5" s="21" t="inlineStr">
        <is>
          <t>OS rollup 2026-02</t>
        </is>
      </c>
      <c r="D5" s="21" t="inlineStr">
        <is>
          <t>Critical</t>
        </is>
      </c>
      <c r="E5" s="21" t="inlineStr">
        <is>
          <t>Information Security Analyst</t>
        </is>
      </c>
      <c r="F5" s="21" t="inlineStr">
        <is>
          <t>Staged, tested, deployed</t>
        </is>
      </c>
    </row>
    <row r="6" ht="34.7" customHeight="1">
      <c r="A6" s="28">
        <v>46055</v>
      </c>
      <c r="B6" s="21" t="inlineStr">
        <is>
          <t>GIS/RMS/ALI</t>
        </is>
      </c>
      <c r="C6" s="21" t="inlineStr">
        <is>
          <t>Integration updates</t>
        </is>
      </c>
      <c r="D6" s="21" t="inlineStr">
        <is>
          <t>Critical</t>
        </is>
      </c>
      <c r="E6" s="21" t="inlineStr">
        <is>
          <t>Information Security Analyst</t>
        </is>
      </c>
      <c r="F6" s="21" t="inlineStr">
        <is>
          <t>Staged, tested, deployed</t>
        </is>
      </c>
    </row>
    <row r="7" ht="34.7" customHeight="1">
      <c r="A7" s="28">
        <v>46056</v>
      </c>
      <c r="B7" s="21" t="inlineStr">
        <is>
          <t>Servers (fleet)</t>
        </is>
      </c>
      <c r="C7" s="21" t="inlineStr">
        <is>
          <t>Patch cycle 2026-02</t>
        </is>
      </c>
      <c r="D7" s="21" t="inlineStr">
        <is>
          <t>Critical</t>
        </is>
      </c>
      <c r="E7" s="21" t="inlineStr">
        <is>
          <t>IT team</t>
        </is>
      </c>
      <c r="F7" s="21" t="inlineStr">
        <is>
          <t>Deployed, monitored</t>
        </is>
      </c>
    </row>
    <row r="8" ht="34.7" customHeight="1">
      <c r="A8" s="28">
        <v>46057</v>
      </c>
      <c r="B8" s="21" t="inlineStr">
        <is>
          <t>Workstations (x38)</t>
        </is>
      </c>
      <c r="C8" s="21" t="inlineStr">
        <is>
          <t>Monthly updates</t>
        </is>
      </c>
      <c r="D8" s="21" t="inlineStr">
        <is>
          <t>Standard</t>
        </is>
      </c>
      <c r="E8" s="21" t="inlineStr">
        <is>
          <t>IT team</t>
        </is>
      </c>
      <c r="F8" s="21" t="inlineStr">
        <is>
          <t>Deployed, success</t>
        </is>
      </c>
    </row>
    <row r="9" ht="34.7" customHeight="1">
      <c r="A9" s="28">
        <v>46061</v>
      </c>
      <c r="B9" s="21" t="inlineStr">
        <is>
          <t>Edge (zero-day)</t>
        </is>
      </c>
      <c r="C9" s="21" t="inlineStr">
        <is>
          <t>Emergency patch</t>
        </is>
      </c>
      <c r="D9" s="21" t="inlineStr">
        <is>
          <t>Critical</t>
        </is>
      </c>
      <c r="E9" s="21" t="inlineStr">
        <is>
          <t>Emergency-change authority</t>
        </is>
      </c>
      <c r="F9" s="21" t="inlineStr">
        <is>
          <t>Tested, deployed, reconciled 12h</t>
        </is>
      </c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</sheetData>
  <mergeCells count="2">
    <mergeCell ref="A2:F2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2026-07-14T16:22:30Z</dcterms:modified>
  <cp:lastModifiedBy/>
  <cp:revision>0</cp:revision>
  <dc:title xmlns:dc="http://purl.org/dc/elements/1.1/">Patch Management Schedule &amp; Tracking Log - EXAMPLE - L</dc:title>
</cp:coreProperties>
</file>
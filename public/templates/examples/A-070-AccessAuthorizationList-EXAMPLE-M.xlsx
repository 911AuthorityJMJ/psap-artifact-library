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Aptos"/>
      <family val="2"/>
      <color theme="1"/>
      <sz val="11"/>
      <scheme val="minor"/>
    </font>
    <font>
      <name val="Aptos"/>
      <b val="1"/>
      <color rgb="001B3A5C"/>
      <sz val="12"/>
    </font>
    <font>
      <name val="Aptos"/>
      <b val="1"/>
      <color rgb="00FFFFFF"/>
      <sz val="16"/>
    </font>
    <font>
      <name val="Aptos"/>
      <color rgb="00000000"/>
      <sz val="12"/>
    </font>
    <font>
      <name val="Aptos"/>
      <b val="1"/>
      <color rgb="00FFFFFF"/>
      <sz val="12"/>
    </font>
    <font>
      <name val="Aptos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EF2F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applyNumberFormat="1" numFmtId="164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9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4476750" cy="1619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4476750" cy="1619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4476750" cy="161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9"/>
  <sheetViews>
    <sheetView showGridLines="0" workbookViewId="0">
      <pane ySplit="11" topLeftCell="A12" activePane="bottomLeft" state="frozen"/>
      <selection pane="bottomLeft" activeCell="A12" sqref="A12"/>
      <selection activeCell="A12" sqref="A12"/>
    </sheetView>
  </sheetViews>
  <sheetFormatPr baseColWidth="8" defaultRowHeight="15"/>
  <cols>
    <col width="10" customWidth="1" min="1" max="1"/>
    <col width="30" customWidth="1" min="2" max="2"/>
    <col width="26" customWidth="1" min="3" max="3"/>
    <col width="22" customWidth="1" min="4" max="4"/>
    <col width="20" customWidth="1" min="5" max="5"/>
    <col width="14" customWidth="1" min="6" max="6"/>
    <col width="16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Wabash Valley Communications   ·   Worked Example   ·   SAMPLE</t>
        </is>
      </c>
    </row>
    <row r="2">
      <c r="A2" s="2" t="inlineStr">
        <is>
          <t>Access Authorization List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4" t="n"/>
    </row>
    <row r="4">
      <c r="A4" s="5" t="inlineStr">
        <is>
          <t>Authority</t>
        </is>
      </c>
      <c r="B4" s="4" t="n"/>
      <c r="C4" s="6" t="inlineStr">
        <is>
          <t>Adopted by Wabash Valley Communications under the authority of Anthony Reyes, Director.</t>
        </is>
      </c>
      <c r="D4" s="3" t="n"/>
      <c r="E4" s="3" t="n"/>
      <c r="F4" s="3" t="n"/>
      <c r="G4" s="3" t="n"/>
      <c r="H4" s="3" t="n"/>
      <c r="I4" s="3" t="n"/>
      <c r="J4" s="4" t="n"/>
    </row>
    <row r="5">
      <c r="A5" s="5" t="inlineStr">
        <is>
          <t>Owner</t>
        </is>
      </c>
      <c r="B5" s="4" t="n"/>
      <c r="C5" s="6" t="inlineStr">
        <is>
          <t>Facilities Coordinator</t>
        </is>
      </c>
      <c r="D5" s="3" t="n"/>
      <c r="E5" s="3" t="n"/>
      <c r="F5" s="3" t="n"/>
      <c r="G5" s="3" t="n"/>
      <c r="H5" s="3" t="n"/>
      <c r="I5" s="3" t="n"/>
      <c r="J5" s="4" t="n"/>
    </row>
    <row r="6">
      <c r="A6" s="5" t="inlineStr">
        <is>
          <t>Version / Dates</t>
        </is>
      </c>
      <c r="B6" s="4" t="n"/>
      <c r="C6" s="6" t="inlineStr">
        <is>
          <t>Version 1.0      Effective Date 2026-03-02      Next Review 2027-03-02</t>
        </is>
      </c>
      <c r="D6" s="3" t="n"/>
      <c r="E6" s="3" t="n"/>
      <c r="F6" s="3" t="n"/>
      <c r="G6" s="3" t="n"/>
      <c r="H6" s="3" t="n"/>
      <c r="I6" s="3" t="n"/>
      <c r="J6" s="4" t="n"/>
    </row>
    <row r="7">
      <c r="A7" s="5" t="inlineStr">
        <is>
          <t>Classification</t>
        </is>
      </c>
      <c r="B7" s="4" t="n"/>
      <c r="C7" s="6" t="inlineStr">
        <is>
          <t>Confidential</t>
        </is>
      </c>
      <c r="D7" s="3" t="n"/>
      <c r="E7" s="3" t="n"/>
      <c r="F7" s="3" t="n"/>
      <c r="G7" s="3" t="n"/>
      <c r="H7" s="3" t="n"/>
      <c r="I7" s="3" t="n"/>
      <c r="J7" s="4" t="n"/>
    </row>
    <row r="8">
      <c r="A8" s="5" t="inlineStr">
        <is>
          <t>Review cadence</t>
        </is>
      </c>
      <c r="B8" s="4" t="n"/>
      <c r="C8" s="6" t="inlineStr">
        <is>
          <t>Reviewed quarterly by the Facilities Coordinator; updated as access changes.</t>
        </is>
      </c>
      <c r="D8" s="3" t="n"/>
      <c r="E8" s="3" t="n"/>
      <c r="F8" s="3" t="n"/>
      <c r="G8" s="3" t="n"/>
      <c r="H8" s="3" t="n"/>
      <c r="I8" s="3" t="n"/>
      <c r="J8" s="4" t="n"/>
    </row>
    <row r="10">
      <c r="A10" s="1" t="inlineStr">
        <is>
          <t>Authorization Entries</t>
        </is>
      </c>
    </row>
    <row r="11" ht="34.7" customHeight="1">
      <c r="A11" s="7" t="inlineStr">
        <is>
          <t>ID</t>
        </is>
      </c>
      <c r="B11" s="7" t="inlineStr">
        <is>
          <t>Authorized Individual (Name &amp; Role)</t>
        </is>
      </c>
      <c r="C11" s="7" t="inlineStr">
        <is>
          <t>Area(s) Authorized</t>
        </is>
      </c>
      <c r="D11" s="7" t="inlineStr">
        <is>
          <t>Credential Type &amp; ID</t>
        </is>
      </c>
      <c r="E11" s="7" t="inlineStr">
        <is>
          <t>Authorized By (Role)</t>
        </is>
      </c>
      <c r="F11" s="7" t="inlineStr">
        <is>
          <t>Date Issued</t>
        </is>
      </c>
      <c r="G11" s="7" t="inlineStr">
        <is>
          <t>Date Revoked / Deprovisioned</t>
        </is>
      </c>
      <c r="H11" s="7" t="inlineStr">
        <is>
          <t>Status</t>
        </is>
      </c>
      <c r="I11" s="7" t="inlineStr">
        <is>
          <t>Last Reviewed</t>
        </is>
      </c>
      <c r="J11" s="7" t="inlineStr">
        <is>
          <t>Next Review Due</t>
        </is>
      </c>
    </row>
    <row r="12">
      <c r="A12" s="8" t="inlineStr">
        <is>
          <t>AUTH-001</t>
        </is>
      </c>
      <c r="B12" s="8" t="inlineStr">
        <is>
          <t>Director: Anthony Reyes</t>
        </is>
      </c>
      <c r="C12" s="8" t="inlineStr">
        <is>
          <t>All controlled areas</t>
        </is>
      </c>
      <c r="D12" s="8" t="inlineStr">
        <is>
          <t>Badge #2001</t>
        </is>
      </c>
      <c r="E12" s="8" t="inlineStr">
        <is>
          <t>Director</t>
        </is>
      </c>
      <c r="F12" s="11">
        <v>45901</v>
      </c>
      <c r="G12" s="8" t="inlineStr"/>
      <c r="H12" s="8" t="inlineStr">
        <is>
          <t>Active</t>
        </is>
      </c>
      <c r="I12" s="11">
        <v>46082</v>
      </c>
      <c r="J12" s="11">
        <v>46174</v>
      </c>
    </row>
    <row r="13" ht="34.7" customHeight="1">
      <c r="A13" s="8" t="inlineStr">
        <is>
          <t>AUTH-002</t>
        </is>
      </c>
      <c r="B13" s="8" t="inlineStr">
        <is>
          <t>Operations Supervisor (on file)</t>
        </is>
      </c>
      <c r="C13" s="8" t="inlineStr">
        <is>
          <t>Dispatch floor; server room</t>
        </is>
      </c>
      <c r="D13" s="8" t="inlineStr">
        <is>
          <t>Badge #2014</t>
        </is>
      </c>
      <c r="E13" s="8" t="inlineStr">
        <is>
          <t>Facilities Coordinator</t>
        </is>
      </c>
      <c r="F13" s="11">
        <v>45901</v>
      </c>
      <c r="G13" s="8" t="inlineStr"/>
      <c r="H13" s="8" t="inlineStr">
        <is>
          <t>Active</t>
        </is>
      </c>
      <c r="I13" s="11">
        <v>46082</v>
      </c>
      <c r="J13" s="11">
        <v>46174</v>
      </c>
    </row>
    <row r="14" ht="34.7" customHeight="1">
      <c r="A14" s="8" t="inlineStr">
        <is>
          <t>AUTH-003</t>
        </is>
      </c>
      <c r="B14" s="8" t="inlineStr">
        <is>
          <t>Dispatcher (on file)</t>
        </is>
      </c>
      <c r="C14" s="8" t="inlineStr">
        <is>
          <t>Dispatch floor</t>
        </is>
      </c>
      <c r="D14" s="8" t="inlineStr">
        <is>
          <t>Badge #2050</t>
        </is>
      </c>
      <c r="E14" s="8" t="inlineStr">
        <is>
          <t>Facilities Coordinator</t>
        </is>
      </c>
      <c r="F14" s="11">
        <v>45901</v>
      </c>
      <c r="G14" s="8" t="inlineStr"/>
      <c r="H14" s="8" t="inlineStr">
        <is>
          <t>Active</t>
        </is>
      </c>
      <c r="I14" s="11">
        <v>46082</v>
      </c>
      <c r="J14" s="11">
        <v>46174</v>
      </c>
    </row>
    <row r="15" ht="34.7" customHeight="1">
      <c r="A15" s="8" t="inlineStr">
        <is>
          <t>AUTH-004</t>
        </is>
      </c>
      <c r="B15" s="8" t="inlineStr">
        <is>
          <t>County IT (on file)</t>
        </is>
      </c>
      <c r="C15" s="8" t="inlineStr">
        <is>
          <t>Server room; IDF/MDF</t>
        </is>
      </c>
      <c r="D15" s="8" t="inlineStr">
        <is>
          <t>Badge #2102 + PIN</t>
        </is>
      </c>
      <c r="E15" s="8" t="inlineStr">
        <is>
          <t>Facilities Coordinator</t>
        </is>
      </c>
      <c r="F15" s="11">
        <v>45901</v>
      </c>
      <c r="G15" s="8" t="inlineStr"/>
      <c r="H15" s="8" t="inlineStr">
        <is>
          <t>Active</t>
        </is>
      </c>
      <c r="I15" s="11">
        <v>46082</v>
      </c>
      <c r="J15" s="11">
        <v>46135</v>
      </c>
    </row>
    <row r="16" ht="34.7" customHeight="1">
      <c r="A16" s="8" t="inlineStr">
        <is>
          <t>AUTH-005</t>
        </is>
      </c>
      <c r="B16" s="8" t="inlineStr">
        <is>
          <t>Vendor, CAD (on file)</t>
        </is>
      </c>
      <c r="C16" s="8" t="inlineStr">
        <is>
          <t>Server room (escorted)</t>
        </is>
      </c>
      <c r="D16" s="8" t="inlineStr">
        <is>
          <t>Temp badge #T-07</t>
        </is>
      </c>
      <c r="E16" s="8" t="inlineStr">
        <is>
          <t>Facilities Coordinator</t>
        </is>
      </c>
      <c r="F16" s="11">
        <v>46063</v>
      </c>
      <c r="G16" s="11">
        <v>46063</v>
      </c>
      <c r="H16" s="8" t="inlineStr">
        <is>
          <t>Revoked</t>
        </is>
      </c>
      <c r="I16" s="11">
        <v>46063</v>
      </c>
      <c r="J16" s="8" t="inlineStr"/>
    </row>
    <row r="17" ht="34.7" customHeight="1">
      <c r="A17" s="8" t="inlineStr">
        <is>
          <t>AUTH-006</t>
        </is>
      </c>
      <c r="B17" s="8" t="inlineStr">
        <is>
          <t>Former dispatcher (on file)</t>
        </is>
      </c>
      <c r="C17" s="8" t="inlineStr">
        <is>
          <t>Dispatch floor</t>
        </is>
      </c>
      <c r="D17" s="8" t="inlineStr">
        <is>
          <t>Badge #2031 (disabled)</t>
        </is>
      </c>
      <c r="E17" s="8" t="inlineStr">
        <is>
          <t>Facilities Coordinator</t>
        </is>
      </c>
      <c r="F17" s="11">
        <v>45474</v>
      </c>
      <c r="G17" s="11">
        <v>46042</v>
      </c>
      <c r="H17" s="8" t="inlineStr">
        <is>
          <t>Revoked</t>
        </is>
      </c>
      <c r="I17" s="11">
        <v>46042</v>
      </c>
      <c r="J17" s="8" t="inlineStr"/>
    </row>
    <row r="19">
      <c r="A19" s="1" t="inlineStr">
        <is>
          <t>Summary (as of 2026-04-24)</t>
        </is>
      </c>
    </row>
    <row r="20" ht="34.7" customHeight="1">
      <c r="A20" s="9" t="inlineStr">
        <is>
          <t>Total entries</t>
        </is>
      </c>
      <c r="C20" s="10">
        <f>COUNTA(A12:A17)</f>
      </c>
    </row>
    <row r="21">
      <c r="A21" s="9" t="inlineStr">
        <is>
          <t>Active</t>
        </is>
      </c>
      <c r="C21" s="10">
        <f>COUNTIF(H12:H17,"Active")</f>
      </c>
    </row>
    <row r="22" ht="34.7" customHeight="1">
      <c r="A22" s="9" t="inlineStr">
        <is>
          <t>Suspended</t>
        </is>
      </c>
      <c r="C22" s="10">
        <f>COUNTIF(H12:H17,"Suspended")</f>
      </c>
    </row>
    <row r="23">
      <c r="A23" s="9" t="inlineStr">
        <is>
          <t>Revoked</t>
        </is>
      </c>
      <c r="C23" s="10">
        <f>COUNTIF(H12:H17,"Revoked")</f>
      </c>
    </row>
    <row r="24" ht="34.7" customHeight="1">
      <c r="A24" s="9" t="inlineStr">
        <is>
          <t>Past due for review</t>
        </is>
      </c>
      <c r="C24" s="10">
        <f>COUNTIF(J12:J17,"&lt;"&amp;DATE(2026,4,24))</f>
      </c>
    </row>
    <row r="26">
      <c r="A26" s="1" t="inlineStr">
        <is>
          <t>Source Authority</t>
        </is>
      </c>
    </row>
    <row r="27">
      <c r="A27" s="9" t="inlineStr">
        <is>
          <t>NENA-STA-040.2-2024: §6.1.2, §6.1.3, §6.1.7</t>
        </is>
      </c>
    </row>
    <row r="28">
      <c r="A28" s="9" t="inlineStr">
        <is>
          <t>NIST SP 800-53 Rev. 5: PE-2, PE-3</t>
        </is>
      </c>
    </row>
    <row r="29">
      <c r="A29" s="9" t="inlineStr">
        <is>
          <t>Indiana statutes and administrative code: 240 IAC 5: IDACS Security (where IDACS equipment is in a listed area)</t>
        </is>
      </c>
    </row>
    <row r="30">
      <c r="A30" s="9" t="inlineStr">
        <is>
          <t>CJIS Security Policy v5.9: §5.9.1 (Physically Secure Location; CJIS-regulated data in scope, via IDACS)</t>
        </is>
      </c>
    </row>
    <row r="32">
      <c r="A32" s="1" t="inlineStr">
        <is>
          <t>Approval Signatures</t>
        </is>
      </c>
    </row>
    <row r="33">
      <c r="A33" s="7" t="inlineStr">
        <is>
          <t>Role</t>
        </is>
      </c>
      <c r="B33" s="7" t="inlineStr">
        <is>
          <t>Name</t>
        </is>
      </c>
      <c r="C33" s="7" t="inlineStr">
        <is>
          <t>Signature</t>
        </is>
      </c>
      <c r="D33" s="7" t="inlineStr">
        <is>
          <t>Date</t>
        </is>
      </c>
    </row>
    <row r="34">
      <c r="A34" s="8" t="inlineStr">
        <is>
          <t>Director</t>
        </is>
      </c>
      <c r="B34" s="8" t="inlineStr">
        <is>
          <t>Anthony Reyes</t>
        </is>
      </c>
      <c r="C34" s="8" t="inlineStr">
        <is>
          <t>Anthony Reyes</t>
        </is>
      </c>
      <c r="D34" s="11">
        <v>46083</v>
      </c>
    </row>
    <row r="35" ht="34.7" customHeight="1">
      <c r="A35" s="8" t="inlineStr">
        <is>
          <t>Facilities Coordinator</t>
        </is>
      </c>
      <c r="B35" s="8" t="inlineStr">
        <is>
          <t>(on file)</t>
        </is>
      </c>
      <c r="C35" s="8" t="inlineStr">
        <is>
          <t>(on file)</t>
        </is>
      </c>
      <c r="D35" s="11">
        <v>46083</v>
      </c>
    </row>
    <row r="37">
      <c r="A37" s="1" t="inlineStr">
        <is>
          <t>Revision History</t>
        </is>
      </c>
    </row>
    <row r="38">
      <c r="A38" s="7" t="inlineStr">
        <is>
          <t>Version</t>
        </is>
      </c>
      <c r="B38" s="7" t="inlineStr">
        <is>
          <t>Date</t>
        </is>
      </c>
      <c r="C38" s="7" t="inlineStr">
        <is>
          <t>Author</t>
        </is>
      </c>
      <c r="D38" s="7" t="inlineStr">
        <is>
          <t>Summary of Change</t>
        </is>
      </c>
    </row>
    <row r="39" ht="34.7" customHeight="1">
      <c r="A39" s="8" t="inlineStr">
        <is>
          <t>1.0</t>
        </is>
      </c>
      <c r="B39" s="11">
        <v>46083</v>
      </c>
      <c r="C39" s="8" t="inlineStr">
        <is>
          <t>Facilities Coordinator</t>
        </is>
      </c>
      <c r="D39" s="8" t="inlineStr">
        <is>
          <t>Initial issue and adoption</t>
        </is>
      </c>
    </row>
  </sheetData>
  <mergeCells count="21">
    <mergeCell ref="A32:J32"/>
    <mergeCell ref="C6:J6"/>
    <mergeCell ref="A29:J29"/>
    <mergeCell ref="C5:J5"/>
    <mergeCell ref="A1:H1"/>
    <mergeCell ref="A10:J10"/>
    <mergeCell ref="A28:J28"/>
    <mergeCell ref="A6:B6"/>
    <mergeCell ref="A19:J19"/>
    <mergeCell ref="C4:J4"/>
    <mergeCell ref="A7:B7"/>
    <mergeCell ref="A30:J30"/>
    <mergeCell ref="A5:B5"/>
    <mergeCell ref="A8:B8"/>
    <mergeCell ref="C8:J8"/>
    <mergeCell ref="A4:B4"/>
    <mergeCell ref="A37:J37"/>
    <mergeCell ref="C7:J7"/>
    <mergeCell ref="A27:J27"/>
    <mergeCell ref="A26:J26"/>
    <mergeCell ref="A2:J2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2026-06-17T19:37:06Z</dcterms:created>
  <dcterms:modified xmlns:dcterms="http://purl.org/dc/terms/" xmlns:xsi="http://www.w3.org/2001/XMLSchema-instance" xsi:type="dcterms:W3CDTF">2026-06-17T19:37:06Z</dcterms:modified>
  <dc:title xmlns:dc="http://purl.org/dc/elements/1.1/">Access Authorization List - EXAMPLE - M</dc:title>
  <cp:lastModifiedBy/>
</cp:coreProperties>
</file>
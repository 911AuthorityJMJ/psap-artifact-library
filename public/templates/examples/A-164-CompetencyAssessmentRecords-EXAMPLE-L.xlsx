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Competency Assessments" sheetId="1" state="visible" r:id="rId1"/>
    <sheet xmlns:r="http://schemas.openxmlformats.org/officeDocument/2006/relationships" name="Credentials &amp; CE" sheetId="2" state="visible" r:id="rId2"/>
  </sheets>
  <definedNames>
    <definedName name="_xlnm.Print_Titles" localSheetId="0">'Competency Assessments'!$11:$11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9" fillId="0" borderId="0" applyAlignment="1" pivotButton="0" quotePrefix="0" xfId="0">
      <alignment horizontal="left" vertical="top" wrapText="1"/>
    </xf>
    <xf numFmtId="0" fontId="0" fillId="0" borderId="4" pivotButton="0" quotePrefix="0" xfId="0"/>
    <xf numFmtId="0" fontId="0" fillId="0" borderId="5" pivotButton="0" quotePrefix="0" xfId="0"/>
    <xf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12</row>
      <rowOff>0</rowOff>
    </from>
    <ext cx="2857500" cy="1047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26</row>
      <rowOff>0</rowOff>
    </from>
    <ext cx="2857500" cy="1047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42</row>
      <rowOff>0</rowOff>
    </from>
    <ext cx="2857500" cy="1047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2857500" cy="1047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J53"/>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9" customWidth="1" min="1" max="1"/>
    <col width="13" customWidth="1" min="2" max="2"/>
    <col width="24" customWidth="1" min="3" max="3"/>
    <col width="26" customWidth="1" min="4" max="4"/>
    <col width="26" customWidth="1" min="5" max="6"/>
    <col width="24" customWidth="1" min="6" max="6"/>
    <col width="28" customWidth="1" min="7" max="7"/>
    <col width="26" customWidth="1" min="8" max="8"/>
    <col width="16" customWidth="1" min="9" max="9"/>
    <col width="17" customWidth="1" min="10" max="10"/>
  </cols>
  <sheetData>
    <row r="1" ht="25.5" customHeight="1">
      <c r="A1" s="9" t="inlineStr">
        <is>
          <t>Competency Assessment Records</t>
        </is>
      </c>
    </row>
    <row r="2"/>
    <row r="3" ht="18.5" customHeight="1">
      <c r="A3" s="7" t="inlineStr">
        <is>
          <t>Authority</t>
        </is>
      </c>
      <c r="B3" s="21" t="n"/>
      <c r="C3" s="6" t="inlineStr">
        <is>
          <t>Adopted by Tri-River Regional 911 Center under the authority of Dr. Lisa Park, Executive Director.</t>
        </is>
      </c>
      <c r="D3" s="22" t="n"/>
      <c r="E3" s="22" t="n"/>
      <c r="F3" s="22" t="n"/>
      <c r="G3" s="21" t="n"/>
    </row>
    <row r="4" ht="18.5" customHeight="1">
      <c r="A4" s="7" t="inlineStr">
        <is>
          <t>Owner</t>
        </is>
      </c>
      <c r="B4" s="21" t="n"/>
      <c r="C4" s="6" t="inlineStr">
        <is>
          <t>Information Security Analyst</t>
        </is>
      </c>
      <c r="D4" s="22" t="n"/>
      <c r="E4" s="22" t="n"/>
      <c r="F4" s="22" t="n"/>
      <c r="G4" s="21" t="n"/>
    </row>
    <row r="5" ht="18.5" customHeight="1">
      <c r="A5" s="7" t="inlineStr">
        <is>
          <t>Version / Dates</t>
        </is>
      </c>
      <c r="B5" s="21" t="n"/>
      <c r="C5" s="6" t="inlineStr">
        <is>
          <t>Version 1.0      Effective Date 2026-06-01      Next Review 2027-06-01</t>
        </is>
      </c>
      <c r="D5" s="22" t="n"/>
      <c r="E5" s="22" t="n"/>
      <c r="F5" s="22" t="n"/>
      <c r="G5" s="21" t="n"/>
    </row>
    <row r="6" ht="18.5" customHeight="1">
      <c r="A6" s="7" t="inlineStr">
        <is>
          <t>Classification</t>
        </is>
      </c>
      <c r="B6" s="21" t="n"/>
      <c r="C6" s="6" t="inlineStr">
        <is>
          <t>Confidential / CJIS</t>
        </is>
      </c>
      <c r="D6" s="22" t="n"/>
      <c r="E6" s="22" t="n"/>
      <c r="F6" s="22" t="n"/>
      <c r="G6" s="21" t="n"/>
    </row>
    <row r="7" ht="82.2" customHeight="1">
      <c r="A7" s="7" t="inlineStr">
        <is>
          <t>Coverage / Scope</t>
        </is>
      </c>
      <c r="B7" s="21" t="n"/>
      <c r="C7" s="6" t="inlineStr">
        <is>
          <t>Covers competency assessments for 2026, with the prior years retained per the retention line below. Scope: every person assigned Role-Specific Training Materials Tracks A through D. Tracks E, F and G are assessed by demonstration at both centers and are recorded here as well. This record holds demonstrated capability; course attendance and the pass mark live in the Training Completion Records. Reviewer (role): Information Security Analyst. CJIS Handling: this record evidences competency for staff who reach CJIS-regulated systems through IDACS; apply CJIS Security Policy v5.9 §5.2 and 240 IAC 5 in addition to the requirements above.</t>
        </is>
      </c>
      <c r="D7" s="22" t="n"/>
      <c r="E7" s="22" t="n"/>
      <c r="F7" s="22" t="n"/>
      <c r="G7" s="21" t="n"/>
    </row>
    <row r="8"/>
    <row r="9">
      <c r="A9" s="4" t="inlineStr">
        <is>
          <t>Assessment Entries</t>
        </is>
      </c>
    </row>
    <row r="10" ht="15" customHeight="1">
      <c r="A10" s="8" t="n"/>
    </row>
    <row r="11" ht="42" customHeight="1">
      <c r="A11" s="10" t="inlineStr">
        <is>
          <t>Entry #</t>
        </is>
      </c>
      <c r="B11" s="10" t="inlineStr">
        <is>
          <t>Date</t>
        </is>
      </c>
      <c r="C11" s="10" t="inlineStr">
        <is>
          <t>Staff Member (Name &amp; Role)</t>
        </is>
      </c>
      <c r="D11" s="10" t="inlineStr">
        <is>
          <t>Track / Competency Assessed</t>
        </is>
      </c>
      <c r="E11" s="10" t="inlineStr">
        <is>
          <t>Assessment Method</t>
        </is>
      </c>
      <c r="F11" s="10" t="inlineStr">
        <is>
          <t>Result vs Passing Bar</t>
        </is>
      </c>
      <c r="G11" s="10" t="inlineStr">
        <is>
          <t>Gap Observed</t>
        </is>
      </c>
      <c r="H11" s="10" t="inlineStr">
        <is>
          <t>Remediation &amp; Due Date</t>
        </is>
      </c>
      <c r="I11" s="10" t="inlineStr">
        <is>
          <t>Reassessed / Closed</t>
        </is>
      </c>
      <c r="J11" s="10" t="inlineStr">
        <is>
          <t>Next Assessment Due</t>
        </is>
      </c>
    </row>
    <row r="12" ht="50.5" customHeight="1">
      <c r="A12" s="11" t="inlineStr">
        <is>
          <t>0001</t>
        </is>
      </c>
      <c r="B12" s="23" t="n">
        <v>46168</v>
      </c>
      <c r="C12" s="11" t="inlineStr">
        <is>
          <t>S. Whitfield, IT team</t>
        </is>
      </c>
      <c r="D12" s="11" t="inlineStr">
        <is>
          <t>Track A: Secure Configuration and Maintenance</t>
        </is>
      </c>
      <c r="E12" s="11" t="inlineStr">
        <is>
          <t>Baseline walkthrough across two workstation builds and the CAD server</t>
        </is>
      </c>
      <c r="F12" s="11" t="inlineStr">
        <is>
          <t>Demonstrated</t>
        </is>
      </c>
      <c r="G12" s="11" t="n"/>
      <c r="H12" s="11" t="n"/>
      <c r="I12" s="11" t="n"/>
      <c r="J12" s="23" t="n">
        <v>46533</v>
      </c>
    </row>
    <row r="13" ht="66.4" customHeight="1">
      <c r="A13" s="11" t="inlineStr">
        <is>
          <t>0002</t>
        </is>
      </c>
      <c r="B13" s="23" t="n">
        <v>46168</v>
      </c>
      <c r="C13" s="11" t="inlineStr">
        <is>
          <t>S. Whitfield, IT team</t>
        </is>
      </c>
      <c r="D13" s="11" t="inlineStr">
        <is>
          <t>Track B: Privileged and Elevated Access</t>
        </is>
      </c>
      <c r="E13" s="11" t="inlineStr">
        <is>
          <t>Ten-scenario set on elevated-account conduct, plus a live privilege-elevation request</t>
        </is>
      </c>
      <c r="F13" s="11" t="inlineStr">
        <is>
          <t>Demonstrated</t>
        </is>
      </c>
      <c r="G13" s="11" t="n"/>
      <c r="H13" s="11" t="n"/>
      <c r="I13" s="11" t="n"/>
      <c r="J13" s="23" t="n">
        <v>46533</v>
      </c>
    </row>
    <row r="14" ht="50.5" customHeight="1">
      <c r="A14" s="11" t="inlineStr">
        <is>
          <t>0003</t>
        </is>
      </c>
      <c r="B14" s="23" t="n">
        <v>46169</v>
      </c>
      <c r="C14" s="11" t="inlineStr">
        <is>
          <t>R. Osei, Information Security Analyst</t>
        </is>
      </c>
      <c r="D14" s="11" t="inlineStr">
        <is>
          <t>Track C: Monitoring and Log Review</t>
        </is>
      </c>
      <c r="E14" s="11" t="inlineStr">
        <is>
          <t>Triage of twenty sample alerts against the published escalation thresholds</t>
        </is>
      </c>
      <c r="F14" s="11" t="inlineStr">
        <is>
          <t>Demonstrated</t>
        </is>
      </c>
      <c r="G14" s="11" t="n"/>
      <c r="H14" s="11" t="n"/>
      <c r="I14" s="11" t="n"/>
      <c r="J14" s="23" t="n">
        <v>46534</v>
      </c>
    </row>
    <row r="15" ht="66.4" customHeight="1">
      <c r="A15" s="11" t="inlineStr">
        <is>
          <t>0004</t>
        </is>
      </c>
      <c r="B15" s="23" t="n">
        <v>46170</v>
      </c>
      <c r="C15" s="11" t="inlineStr">
        <is>
          <t>R. Osei, Information Security Analyst</t>
        </is>
      </c>
      <c r="D15" s="11" t="inlineStr">
        <is>
          <t>Track D: Incident Response and Evidence Handling</t>
        </is>
      </c>
      <c r="E15" s="11" t="inlineStr">
        <is>
          <t>Quarterly exercise: decision log kept and evidence handling observed</t>
        </is>
      </c>
      <c r="F15" s="11" t="inlineStr">
        <is>
          <t>Demonstrated</t>
        </is>
      </c>
      <c r="G15" s="11" t="n"/>
      <c r="H15" s="11" t="n"/>
      <c r="I15" s="11" t="n"/>
      <c r="J15" s="23" t="n">
        <v>46262</v>
      </c>
    </row>
    <row r="16" ht="50.5" customHeight="1">
      <c r="A16" s="11" t="inlineStr">
        <is>
          <t>0005</t>
        </is>
      </c>
      <c r="B16" s="23" t="n">
        <v>46170</v>
      </c>
      <c r="C16" s="11" t="inlineStr">
        <is>
          <t>D. Carter, Dispatcher</t>
        </is>
      </c>
      <c r="D16" s="11" t="inlineStr">
        <is>
          <t>Track E: Sensitive Data and Media Handling</t>
        </is>
      </c>
      <c r="E16" s="11" t="inlineStr">
        <is>
          <t>Classification and disclosure exercise on ten sample records</t>
        </is>
      </c>
      <c r="F16" s="11" t="inlineStr">
        <is>
          <t>Demonstrated</t>
        </is>
      </c>
      <c r="G16" s="11" t="n"/>
      <c r="H16" s="11" t="n"/>
      <c r="I16" s="11" t="n"/>
      <c r="J16" s="23" t="n">
        <v>46535</v>
      </c>
    </row>
    <row r="17" ht="82.2" customHeight="1">
      <c r="A17" s="11" t="inlineStr">
        <is>
          <t>0006</t>
        </is>
      </c>
      <c r="B17" s="23" t="n">
        <v>46171</v>
      </c>
      <c r="C17" s="11" t="inlineStr">
        <is>
          <t>D. Carter, Dispatcher</t>
        </is>
      </c>
      <c r="D17" s="11" t="inlineStr">
        <is>
          <t>Track F: Physical and Visual Safeguards</t>
        </is>
      </c>
      <c r="E17" s="11" t="inlineStr">
        <is>
          <t>Observed walkthrough at the second center</t>
        </is>
      </c>
      <c r="F17" s="11" t="inlineStr">
        <is>
          <t>Demonstrated with gap</t>
        </is>
      </c>
      <c r="G17" s="11" t="inlineStr">
        <is>
          <t>Escort and screen-lock behavior correct, but two positions at the second center had no privacy filter fitted</t>
        </is>
      </c>
      <c r="H17" s="11" t="inlineStr">
        <is>
          <t>Filters fitted at both positions and the walkthrough repeated, by 2026-06-12</t>
        </is>
      </c>
      <c r="I17" s="23" t="n">
        <v>46183</v>
      </c>
      <c r="J17" s="23" t="n">
        <v>46536</v>
      </c>
    </row>
    <row r="18" ht="66.4" customHeight="1">
      <c r="A18" s="11" t="inlineStr">
        <is>
          <t>0007</t>
        </is>
      </c>
      <c r="B18" s="23" t="n">
        <v>46174</v>
      </c>
      <c r="C18" s="11" t="inlineStr">
        <is>
          <t>Dr. L. Park, Executive Director</t>
        </is>
      </c>
      <c r="D18" s="11" t="inlineStr">
        <is>
          <t>Track G: Program Governance and Oversight</t>
        </is>
      </c>
      <c r="E18" s="11" t="inlineStr">
        <is>
          <t>Review of two live risk register entries with recorded decisions and review dates</t>
        </is>
      </c>
      <c r="F18" s="11" t="inlineStr">
        <is>
          <t>Demonstrated</t>
        </is>
      </c>
      <c r="G18" s="11" t="n"/>
      <c r="H18" s="11" t="n"/>
      <c r="I18" s="11" t="n"/>
      <c r="J18" s="23" t="n">
        <v>46539</v>
      </c>
    </row>
    <row r="19" ht="18.5" customHeight="1">
      <c r="A19" s="11" t="n"/>
      <c r="B19" s="11" t="n"/>
      <c r="C19" s="11" t="n"/>
      <c r="D19" s="11" t="n"/>
      <c r="E19" s="11" t="n"/>
      <c r="F19" s="11" t="n"/>
      <c r="G19" s="11" t="n"/>
      <c r="H19" s="11" t="n"/>
      <c r="I19" s="11" t="n"/>
      <c r="J19" s="11" t="n"/>
    </row>
    <row r="20" ht="18.5" customHeight="1">
      <c r="A20" s="11" t="n"/>
      <c r="B20" s="11" t="n"/>
      <c r="C20" s="11" t="n"/>
      <c r="D20" s="11" t="n"/>
      <c r="E20" s="11" t="n"/>
      <c r="F20" s="11" t="n"/>
      <c r="G20" s="11" t="n"/>
      <c r="H20" s="11" t="n"/>
      <c r="I20" s="11" t="n"/>
      <c r="J20" s="11" t="n"/>
    </row>
    <row r="21" ht="18.5" customHeight="1">
      <c r="A21" s="11" t="n"/>
      <c r="B21" s="11" t="n"/>
      <c r="C21" s="11" t="n"/>
      <c r="D21" s="11" t="n"/>
      <c r="E21" s="11" t="n"/>
      <c r="F21" s="11" t="n"/>
      <c r="G21" s="11" t="n"/>
      <c r="H21" s="11" t="n"/>
      <c r="I21" s="11" t="n"/>
      <c r="J21" s="11" t="n"/>
    </row>
    <row r="22"/>
    <row r="23">
      <c r="A23" s="4" t="inlineStr">
        <is>
          <t>Summary (as of 2026-08-29)</t>
        </is>
      </c>
    </row>
    <row r="24">
      <c r="A24" s="3" t="inlineStr">
        <is>
          <t>Assessments recorded</t>
        </is>
      </c>
      <c r="C24" s="20">
        <f>COUNTA(A12:A21)</f>
      </c>
    </row>
    <row r="25">
      <c r="A25" s="3" t="inlineStr">
        <is>
          <t>Not demonstrated</t>
        </is>
      </c>
      <c r="C25" s="20">
        <f>COUNTIF(F12:F21,"Not demonstrated")</f>
      </c>
    </row>
    <row r="26" ht="34.7" customHeight="1">
      <c r="A26" s="3" t="inlineStr">
        <is>
          <t>Open remediation (gap not yet closed)</t>
        </is>
      </c>
      <c r="C26" s="20">
        <f>COUNTIFS(H12:H21,"&lt;&gt;",I12:I21,"")</f>
      </c>
    </row>
    <row r="27" ht="34.7" customHeight="1">
      <c r="A27" s="3" t="inlineStr">
        <is>
          <t>Overdue for reassessment</t>
        </is>
      </c>
      <c r="C27" s="20">
        <f>COUNTIF(J12:J21,"&lt;"&amp;DATE(2026,8,29))</f>
      </c>
    </row>
    <row r="28"/>
    <row r="29">
      <c r="A29" s="4" t="inlineStr">
        <is>
          <t>Findings</t>
        </is>
      </c>
    </row>
    <row r="30" ht="15" customHeight="1">
      <c r="A30" s="8" t="n"/>
    </row>
    <row r="31" ht="45.5" customHeight="1">
      <c r="A31" s="3" t="inlineStr">
        <is>
          <t>Seven assessments were recorded across the four people who hold tracks at the two centers. One gap was found, in Track F at the second center, and closed within the cycle on 2026-06-10; it is mirrored in the Risk / Finding Register as R-118. No remediation is open and nothing is overdue at period end. Competency results are reported to leadership monthly alongside completion rates, and the credential renewals below are tracked on the same cycle.</t>
        </is>
      </c>
    </row>
    <row r="32"/>
    <row r="33">
      <c r="A33" s="4" t="inlineStr">
        <is>
          <t>Sign-off</t>
        </is>
      </c>
    </row>
    <row r="34">
      <c r="A34" s="10" t="inlineStr">
        <is>
          <t>Role</t>
        </is>
      </c>
      <c r="B34" s="21" t="n"/>
      <c r="C34" s="10" t="inlineStr">
        <is>
          <t>Name</t>
        </is>
      </c>
      <c r="D34" s="10" t="inlineStr">
        <is>
          <t>Signature</t>
        </is>
      </c>
      <c r="E34" s="10" t="inlineStr">
        <is>
          <t>Date</t>
        </is>
      </c>
    </row>
    <row r="35" ht="34.7" customHeight="1">
      <c r="A35" s="11" t="inlineStr">
        <is>
          <t>Information Security Analyst</t>
        </is>
      </c>
      <c r="B35" s="21" t="n"/>
      <c r="C35" s="11" t="inlineStr">
        <is>
          <t>(on file)</t>
        </is>
      </c>
      <c r="D35" s="11" t="inlineStr">
        <is>
          <t>(on file)</t>
        </is>
      </c>
      <c r="E35" s="23" t="n">
        <v>46174</v>
      </c>
    </row>
    <row r="36">
      <c r="A36" s="11" t="inlineStr">
        <is>
          <t>Executive Director</t>
        </is>
      </c>
      <c r="B36" s="21" t="n"/>
      <c r="C36" s="11" t="inlineStr">
        <is>
          <t>Dr. Lisa Park</t>
        </is>
      </c>
      <c r="D36" s="11" t="inlineStr">
        <is>
          <t>/s/ Dr. Lisa Park</t>
        </is>
      </c>
      <c r="E36" s="23" t="n">
        <v>46174</v>
      </c>
    </row>
    <row r="37"/>
    <row r="38">
      <c r="A38" s="4" t="inlineStr">
        <is>
          <t>Retention</t>
        </is>
      </c>
    </row>
    <row r="39" ht="15" customHeight="1">
      <c r="A39" s="8" t="n"/>
    </row>
    <row r="40" ht="18.5" customHeight="1">
      <c r="A40" s="3" t="inlineStr">
        <is>
          <t>Retention: current year plus the prior two years at minimum, so a competency trend is visible across review cycles and against credential renewal dates, stored and handled per the Document Handling Standard.</t>
        </is>
      </c>
    </row>
    <row r="41"/>
    <row r="42">
      <c r="A42" s="4" t="inlineStr">
        <is>
          <t>Source Authority</t>
        </is>
      </c>
    </row>
    <row r="43" ht="15" customHeight="1">
      <c r="A43" s="8" t="n"/>
    </row>
    <row r="44" ht="18.5" customHeight="1">
      <c r="A44" s="3" t="inlineStr">
        <is>
          <t>NENA-STA-040.2-2024: §5.1 (Cybersecurity Training); §5.1.2 (Technician Security Training)</t>
        </is>
      </c>
    </row>
    <row r="45" ht="18.5" customHeight="1">
      <c r="A45" s="3" t="inlineStr">
        <is>
          <t>NIST SP 800-53 Rev. 5: AT-3, AT-4, AT-6, PM-13, PM-14</t>
        </is>
      </c>
    </row>
    <row r="46" ht="18.5" customHeight="1">
      <c r="A46" s="3" t="inlineStr">
        <is>
          <t>Indiana statutes and administrative code: IC 36-8-16.7 (Statewide 911, allowable training uses); IC 36-8-16.8 (Public Safety Telecommunicator Training); 240 IAC 5 (IDACS)</t>
        </is>
      </c>
    </row>
    <row r="47" ht="18.5" customHeight="1">
      <c r="A47" s="3" t="inlineStr">
        <is>
          <t>CJIS Security Policy v5.9: §5.2 (Security Awareness Training) (CJIS-regulated data in scope, via IDACS)</t>
        </is>
      </c>
    </row>
    <row r="48"/>
    <row r="49">
      <c r="A49" s="4" t="inlineStr">
        <is>
          <t>Revision History</t>
        </is>
      </c>
    </row>
    <row r="50">
      <c r="A50" s="10" t="inlineStr">
        <is>
          <t>Version</t>
        </is>
      </c>
      <c r="B50" s="21" t="n"/>
      <c r="C50" s="10" t="inlineStr">
        <is>
          <t>Date</t>
        </is>
      </c>
      <c r="D50" s="10" t="inlineStr">
        <is>
          <t>Author</t>
        </is>
      </c>
      <c r="E50" s="10" t="inlineStr">
        <is>
          <t>Summary of Change</t>
        </is>
      </c>
      <c r="F50" s="22" t="n"/>
      <c r="G50" s="21" t="n"/>
    </row>
    <row r="51" ht="34.7" customHeight="1">
      <c r="A51" s="11" t="inlineStr">
        <is>
          <t>1.0</t>
        </is>
      </c>
      <c r="B51" s="21" t="n"/>
      <c r="C51" s="23" t="n">
        <v>46174</v>
      </c>
      <c r="D51" s="11" t="inlineStr">
        <is>
          <t>Information Security Analyst</t>
        </is>
      </c>
      <c r="E51" s="11" t="inlineStr">
        <is>
          <t>Initial issue</t>
        </is>
      </c>
      <c r="F51" s="22" t="n"/>
      <c r="G51" s="21" t="n"/>
    </row>
    <row r="52"/>
    <row r="53" ht="132" customHeight="1">
      <c r="A53" s="8" t="n"/>
    </row>
  </sheetData>
  <mergeCells count="40">
    <mergeCell ref="A47:J47"/>
    <mergeCell ref="A23:J23"/>
    <mergeCell ref="A24:B24"/>
    <mergeCell ref="C6:G6"/>
    <mergeCell ref="A51:B51"/>
    <mergeCell ref="A53:J53"/>
    <mergeCell ref="C5:G5"/>
    <mergeCell ref="A29:J29"/>
    <mergeCell ref="A36:B36"/>
    <mergeCell ref="A43:J43"/>
    <mergeCell ref="A38:J38"/>
    <mergeCell ref="A33:J33"/>
    <mergeCell ref="A10:J10"/>
    <mergeCell ref="A6:B6"/>
    <mergeCell ref="A44:J44"/>
    <mergeCell ref="C4:G4"/>
    <mergeCell ref="A31:J31"/>
    <mergeCell ref="A7:B7"/>
    <mergeCell ref="A25:B25"/>
    <mergeCell ref="A40:J40"/>
    <mergeCell ref="A9:J9"/>
    <mergeCell ref="A30:J30"/>
    <mergeCell ref="A39:J39"/>
    <mergeCell ref="A27:B27"/>
    <mergeCell ref="A3:B3"/>
    <mergeCell ref="A34:B34"/>
    <mergeCell ref="A49:J49"/>
    <mergeCell ref="A50:B50"/>
    <mergeCell ref="A1:J1"/>
    <mergeCell ref="A26:B26"/>
    <mergeCell ref="A45:J45"/>
    <mergeCell ref="A5:B5"/>
    <mergeCell ref="E50:G50"/>
    <mergeCell ref="A35:B35"/>
    <mergeCell ref="A4:B4"/>
    <mergeCell ref="C7:G7"/>
    <mergeCell ref="A46:J46"/>
    <mergeCell ref="A42:J42"/>
    <mergeCell ref="E51:G51"/>
    <mergeCell ref="C3:G3"/>
  </mergeCells>
  <pageMargins left="0.75" right="0.75" top="1" bottom="1" header="0.511811023622047" footer="0.511811023622047"/>
  <pageSetup paperSize="1" orientation="landscape" fitToWidth="1"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19"/>
  <sheetViews>
    <sheetView showGridLines="0" workbookViewId="0">
      <pane ySplit="4" topLeftCell="A5" activePane="bottomLeft" state="frozen"/>
      <selection pane="bottomLeft" activeCell="A5" sqref="A5"/>
    </sheetView>
  </sheetViews>
  <sheetFormatPr baseColWidth="8" defaultRowHeight="15"/>
  <cols>
    <col width="26" customWidth="1" min="1" max="1"/>
    <col width="30" customWidth="1" min="2" max="2"/>
    <col width="13" customWidth="1" min="3" max="3"/>
    <col width="13" customWidth="1" min="4" max="4"/>
    <col width="24" customWidth="1" min="5" max="5"/>
    <col width="18" customWidth="1" min="6" max="6"/>
    <col width="24" customWidth="1" min="7" max="7"/>
  </cols>
  <sheetData>
    <row r="1" ht="25.5" customHeight="1">
      <c r="A1" s="9" t="inlineStr">
        <is>
          <t>Credential &amp; Continuing Education Register</t>
        </is>
      </c>
    </row>
    <row r="2" ht="15" customHeight="1">
      <c r="A2" s="8" t="n"/>
    </row>
    <row r="3"/>
    <row r="4" ht="34.7" customHeight="1">
      <c r="A4" s="10" t="inlineStr">
        <is>
          <t>Staff Member (Name &amp; Role)</t>
        </is>
      </c>
      <c r="B4" s="10" t="inlineStr">
        <is>
          <t>Credential / Course</t>
        </is>
      </c>
      <c r="C4" s="10" t="inlineStr">
        <is>
          <t>Awarded</t>
        </is>
      </c>
      <c r="D4" s="10" t="inlineStr">
        <is>
          <t>Expires</t>
        </is>
      </c>
      <c r="E4" s="10" t="inlineStr">
        <is>
          <t>CE Credits Required / Earned</t>
        </is>
      </c>
      <c r="F4" s="10" t="inlineStr">
        <is>
          <t>Agency Sponsored (Y/N)</t>
        </is>
      </c>
      <c r="G4" s="10" t="inlineStr">
        <is>
          <t>Renewal Status</t>
        </is>
      </c>
    </row>
    <row r="5" ht="34.7" customHeight="1">
      <c r="A5" s="11" t="inlineStr">
        <is>
          <t>R. Osei, Information Security Analyst</t>
        </is>
      </c>
      <c r="B5" s="11" t="inlineStr">
        <is>
          <t>Analyst-level detection and response certification</t>
        </is>
      </c>
      <c r="C5" s="23" t="n">
        <v>45203</v>
      </c>
      <c r="D5" s="23" t="n">
        <v>46299</v>
      </c>
      <c r="E5" s="11" t="inlineStr">
        <is>
          <t>60 / 52</t>
        </is>
      </c>
      <c r="F5" s="11" t="inlineStr">
        <is>
          <t>Y</t>
        </is>
      </c>
      <c r="G5" s="11" t="inlineStr">
        <is>
          <t>In renewal</t>
        </is>
      </c>
    </row>
    <row r="6" ht="34.7" customHeight="1">
      <c r="A6" s="11" t="inlineStr">
        <is>
          <t>R. Osei, Information Security Analyst</t>
        </is>
      </c>
      <c r="B6" s="11" t="inlineStr">
        <is>
          <t>Incident handling credential</t>
        </is>
      </c>
      <c r="C6" s="23" t="n">
        <v>45825</v>
      </c>
      <c r="D6" s="23" t="n">
        <v>46921</v>
      </c>
      <c r="E6" s="11" t="inlineStr">
        <is>
          <t>40 / 14</t>
        </is>
      </c>
      <c r="F6" s="11" t="inlineStr">
        <is>
          <t>Y</t>
        </is>
      </c>
      <c r="G6" s="11" t="inlineStr">
        <is>
          <t>Current</t>
        </is>
      </c>
    </row>
    <row r="7" ht="34.7" customHeight="1">
      <c r="A7" s="11" t="inlineStr">
        <is>
          <t>S. Whitfield, IT team</t>
        </is>
      </c>
      <c r="B7" s="11" t="inlineStr">
        <is>
          <t>Platform certification for the CAD and directory environment</t>
        </is>
      </c>
      <c r="C7" s="23" t="n">
        <v>45534</v>
      </c>
      <c r="D7" s="23" t="n">
        <v>46629</v>
      </c>
      <c r="E7" s="11" t="inlineStr">
        <is>
          <t>30 / 18</t>
        </is>
      </c>
      <c r="F7" s="11" t="inlineStr">
        <is>
          <t>Y</t>
        </is>
      </c>
      <c r="G7" s="11" t="inlineStr">
        <is>
          <t>Current</t>
        </is>
      </c>
    </row>
    <row r="8" ht="18.5" customHeight="1">
      <c r="A8" s="11" t="n"/>
      <c r="B8" s="11" t="n"/>
      <c r="C8" s="11" t="n"/>
      <c r="D8" s="11" t="n"/>
      <c r="E8" s="11" t="n"/>
      <c r="F8" s="11" t="n"/>
      <c r="G8" s="11" t="n"/>
    </row>
    <row r="9" ht="18.5" customHeight="1">
      <c r="A9" s="11" t="n"/>
      <c r="B9" s="11" t="n"/>
      <c r="C9" s="11" t="n"/>
      <c r="D9" s="11" t="n"/>
      <c r="E9" s="11" t="n"/>
      <c r="F9" s="11" t="n"/>
      <c r="G9" s="11" t="n"/>
    </row>
    <row r="10" ht="18.5" customHeight="1">
      <c r="A10" s="11" t="n"/>
      <c r="B10" s="11" t="n"/>
      <c r="C10" s="11" t="n"/>
      <c r="D10" s="11" t="n"/>
      <c r="E10" s="11" t="n"/>
      <c r="F10" s="11" t="n"/>
      <c r="G10" s="11" t="n"/>
    </row>
    <row r="11" ht="18.5" customHeight="1">
      <c r="A11" s="11" t="n"/>
      <c r="B11" s="11" t="n"/>
      <c r="C11" s="11" t="n"/>
      <c r="D11" s="11" t="n"/>
      <c r="E11" s="11" t="n"/>
      <c r="F11" s="11" t="n"/>
      <c r="G11" s="11" t="n"/>
    </row>
    <row r="12" ht="18.5" customHeight="1">
      <c r="A12" s="11" t="n"/>
      <c r="B12" s="11" t="n"/>
      <c r="C12" s="11" t="n"/>
      <c r="D12" s="11" t="n"/>
      <c r="E12" s="11" t="n"/>
      <c r="F12" s="11" t="n"/>
      <c r="G12" s="11" t="n"/>
    </row>
    <row r="13" ht="18.5" customHeight="1">
      <c r="A13" s="11" t="n"/>
      <c r="B13" s="11" t="n"/>
      <c r="C13" s="11" t="n"/>
      <c r="D13" s="11" t="n"/>
      <c r="E13" s="11" t="n"/>
      <c r="F13" s="11" t="n"/>
      <c r="G13" s="11" t="n"/>
    </row>
    <row r="14" ht="18.5" customHeight="1">
      <c r="A14" s="11" t="n"/>
      <c r="B14" s="11" t="n"/>
      <c r="C14" s="11" t="n"/>
      <c r="D14" s="11" t="n"/>
      <c r="E14" s="11" t="n"/>
      <c r="F14" s="11" t="n"/>
      <c r="G14" s="11" t="n"/>
    </row>
    <row r="15"/>
    <row r="16">
      <c r="A16" s="4" t="inlineStr">
        <is>
          <t>Summary (as of 2026-08-29)</t>
        </is>
      </c>
    </row>
    <row r="17">
      <c r="A17" s="3" t="inlineStr">
        <is>
          <t>Credentials tracked</t>
        </is>
      </c>
      <c r="C17" s="20">
        <f>COUNTA(B5:B14)</f>
      </c>
    </row>
    <row r="18">
      <c r="A18" s="3" t="inlineStr">
        <is>
          <t>Expiring within 90 days</t>
        </is>
      </c>
      <c r="C18" s="20">
        <f>COUNTIFS(D5:D14,"&gt;="&amp;DATE(2026,8,29),D5:D14,"&lt;="&amp;DATE(2026,8,29)+90)</f>
      </c>
    </row>
    <row r="19">
      <c r="A19" s="3" t="inlineStr">
        <is>
          <t>Lapsed</t>
        </is>
      </c>
      <c r="C19" s="20">
        <f>COUNTIF(D5:D14,"&lt;"&amp;DATE(2026,8,29))</f>
      </c>
    </row>
  </sheetData>
  <mergeCells count="6">
    <mergeCell ref="A1:G1"/>
    <mergeCell ref="A19:B19"/>
    <mergeCell ref="A2:G2"/>
    <mergeCell ref="A16:G16"/>
    <mergeCell ref="A17:B17"/>
    <mergeCell ref="A18:B18"/>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2026-08-05T15:59:51Z</dcterms:modified>
  <cp:lastModifiedBy/>
  <cp:revision>0</cp:revision>
  <dc:title xmlns:dc="http://purl.org/dc/elements/1.1/">Competency Assessment Records - EXAMPLE - L</dc:title>
</cp:coreProperties>
</file>
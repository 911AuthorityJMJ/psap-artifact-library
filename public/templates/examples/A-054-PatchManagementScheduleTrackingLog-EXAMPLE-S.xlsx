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ctiveTab="0" autoFilterDateGrouping="1"/>
  </bookViews>
  <sheets>
    <sheet xmlns:r="http://schemas.openxmlformats.org/officeDocument/2006/relationships" name="Patch Schedule" sheetId="1" state="visible" r:id="rId1"/>
    <sheet xmlns:r="http://schemas.openxmlformats.org/officeDocument/2006/relationships" name="Patch Track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0" topLeftCell="A11" activePane="bottomLeft" state="frozen"/>
      <selection pane="bottomLeft" activeCell="A1" sqref="A1:F1"/>
    </sheetView>
  </sheetViews>
  <sheetFormatPr baseColWidth="10" defaultColWidth="8.6640625" defaultRowHeight="15"/>
  <cols>
    <col width="30" customWidth="1" min="1" max="1"/>
    <col width="30" customWidth="1" min="2" max="2"/>
    <col width="20" customWidth="1" min="3" max="3"/>
    <col width="18" customWidth="1" min="4" max="4"/>
    <col width="20" customWidth="1" min="5" max="6"/>
    <col width="20" customWidth="1" min="6" max="6"/>
  </cols>
  <sheetData>
    <row r="1" ht="25.5" customHeight="1">
      <c r="A1" s="10" t="inlineStr">
        <is>
          <t>Patch Management Schedule &amp; Tracking Log</t>
        </is>
      </c>
    </row>
    <row r="2" ht="15" customHeight="1">
      <c r="A2" s="9" t="n"/>
    </row>
    <row r="3" ht="29.75" customHeight="1">
      <c r="A3" s="8" t="inlineStr">
        <is>
          <t>Authority</t>
        </is>
      </c>
      <c r="B3" s="22" t="n"/>
      <c r="C3" s="7" t="inlineStr">
        <is>
          <t>Adopted by Hickory County 911 under the authority of Tracy Holloway, Director.</t>
        </is>
      </c>
      <c r="D3" s="23" t="n"/>
      <c r="E3" s="23" t="n"/>
      <c r="F3" s="22" t="n"/>
    </row>
    <row r="4" ht="15" customHeight="1">
      <c r="A4" s="8" t="inlineStr">
        <is>
          <t>Owner</t>
        </is>
      </c>
      <c r="B4" s="22" t="n"/>
      <c r="C4" s="7" t="inlineStr">
        <is>
          <t>County IT Contact</t>
        </is>
      </c>
      <c r="D4" s="23" t="n"/>
      <c r="E4" s="23" t="n"/>
      <c r="F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      Effective Date 2026-02-16      Next Review 2027-02-16</t>
        </is>
      </c>
      <c r="D5" s="23" t="n"/>
      <c r="E5" s="23" t="n"/>
      <c r="F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2" t="n"/>
    </row>
    <row r="7"/>
    <row r="8" ht="15" customHeight="1">
      <c r="A8" s="5" t="inlineStr">
        <is>
          <t>Patch Schedule</t>
        </is>
      </c>
    </row>
    <row r="9" ht="15" customHeight="1">
      <c r="A9" s="9" t="inlineStr"/>
    </row>
    <row r="10" ht="44" customHeight="1">
      <c r="A10" s="11" t="inlineStr">
        <is>
          <t>System Type / Criticality</t>
        </is>
      </c>
      <c r="B10" s="11" t="inlineStr">
        <is>
          <t>Patch Source &amp; Test Requirement</t>
        </is>
      </c>
      <c r="C10" s="11" t="inlineStr">
        <is>
          <t>Frequency</t>
        </is>
      </c>
      <c r="D10" s="11" t="inlineStr">
        <is>
          <t>Owner (Role)</t>
        </is>
      </c>
      <c r="E10" s="11" t="inlineStr">
        <is>
          <t>Next Due</t>
        </is>
      </c>
      <c r="F10" s="11" t="inlineStr">
        <is>
          <t>Status</t>
        </is>
      </c>
    </row>
    <row r="11" ht="19.5" customHeight="1">
      <c r="A11" s="12" t="inlineStr">
        <is>
          <t>CAD / dispatch (Critical)</t>
        </is>
      </c>
      <c r="B11" s="12" t="inlineStr">
        <is>
          <t>Vendor portal; test on spare first</t>
        </is>
      </c>
      <c r="C11" s="12" t="inlineStr">
        <is>
          <t>Monthly; critical within 72h</t>
        </is>
      </c>
      <c r="D11" s="12" t="inlineStr">
        <is>
          <t>County IT Contact</t>
        </is>
      </c>
      <c r="E11" s="12" t="inlineStr">
        <is>
          <t>2026-03-01</t>
        </is>
      </c>
      <c r="F11" s="12" t="inlineStr">
        <is>
          <t>On track</t>
        </is>
      </c>
    </row>
    <row r="12" ht="19.5" customHeight="1">
      <c r="A12" s="12" t="inlineStr">
        <is>
          <t>Workstations (Standard)</t>
        </is>
      </c>
      <c r="B12" s="12" t="inlineStr">
        <is>
          <t>WSUS / Windows Update</t>
        </is>
      </c>
      <c r="C12" s="12" t="inlineStr">
        <is>
          <t>Monthly</t>
        </is>
      </c>
      <c r="D12" s="12" t="inlineStr">
        <is>
          <t>County IT Contact</t>
        </is>
      </c>
      <c r="E12" s="12" t="inlineStr">
        <is>
          <t>2026-03-01</t>
        </is>
      </c>
      <c r="F12" s="12" t="inlineStr">
        <is>
          <t>On track</t>
        </is>
      </c>
    </row>
    <row r="13" ht="19.5" customHeight="1">
      <c r="A13" s="12" t="inlineStr">
        <is>
          <t>Network devices (Critical)</t>
        </is>
      </c>
      <c r="B13" s="12" t="inlineStr">
        <is>
          <t>Vendor firmware; test first</t>
        </is>
      </c>
      <c r="C13" s="12" t="inlineStr">
        <is>
          <t>Quarterly</t>
        </is>
      </c>
      <c r="D13" s="12" t="inlineStr">
        <is>
          <t>County IT Contact</t>
        </is>
      </c>
      <c r="E13" s="12" t="inlineStr">
        <is>
          <t>2026-04-01</t>
        </is>
      </c>
      <c r="F13" s="12" t="inlineStr">
        <is>
          <t>On track</t>
        </is>
      </c>
    </row>
    <row r="14" ht="19.5" customHeight="1">
      <c r="A14" s="12" t="n"/>
      <c r="B14" s="12" t="n"/>
      <c r="C14" s="12" t="n"/>
      <c r="D14" s="12" t="n"/>
      <c r="E14" s="12" t="n"/>
      <c r="F14" s="12" t="n"/>
    </row>
    <row r="15" ht="19.5" customHeight="1">
      <c r="A15" s="12" t="n"/>
      <c r="B15" s="12" t="n"/>
      <c r="C15" s="12" t="n"/>
      <c r="D15" s="12" t="n"/>
      <c r="E15" s="12" t="n"/>
      <c r="F15" s="12" t="n"/>
    </row>
    <row r="16" ht="19.5" customHeight="1">
      <c r="A16" s="12" t="n"/>
      <c r="B16" s="12" t="n"/>
      <c r="C16" s="12" t="n"/>
      <c r="D16" s="12" t="n"/>
      <c r="E16" s="12" t="n"/>
      <c r="F16" s="12" t="n"/>
    </row>
    <row r="17" ht="19.5" customHeight="1">
      <c r="A17" s="12" t="n"/>
      <c r="B17" s="12" t="n"/>
      <c r="C17" s="12" t="n"/>
      <c r="D17" s="12" t="n"/>
      <c r="E17" s="12" t="n"/>
      <c r="F17" s="12" t="n"/>
    </row>
    <row r="18" ht="19.5" customHeight="1">
      <c r="A18" s="12" t="n"/>
      <c r="B18" s="12" t="n"/>
      <c r="C18" s="12" t="n"/>
      <c r="D18" s="12" t="n"/>
      <c r="E18" s="12" t="n"/>
      <c r="F18" s="12" t="n"/>
    </row>
    <row r="19" ht="19.5" customHeight="1">
      <c r="A19" s="12" t="n"/>
      <c r="B19" s="12" t="n"/>
      <c r="C19" s="12" t="n"/>
      <c r="D19" s="12" t="n"/>
      <c r="E19" s="12" t="n"/>
      <c r="F19" s="12" t="n"/>
    </row>
    <row r="20" ht="19.5" customHeight="1">
      <c r="A20" s="12" t="n"/>
      <c r="B20" s="12" t="n"/>
      <c r="C20" s="12" t="n"/>
      <c r="D20" s="12" t="n"/>
      <c r="E20" s="12" t="n"/>
      <c r="F20" s="12" t="n"/>
    </row>
    <row r="21"/>
    <row r="22" ht="15" customHeight="1">
      <c r="A22" s="5" t="inlineStr">
        <is>
          <t>Summary</t>
        </is>
      </c>
    </row>
    <row r="23" ht="15" customHeight="1">
      <c r="A23" s="4" t="inlineStr">
        <is>
          <t>Patch cadences tracked</t>
        </is>
      </c>
      <c r="B23" s="24" t="n"/>
      <c r="C23" s="13">
        <f>COUNTA(A11:A20)</f>
        <v/>
      </c>
    </row>
    <row r="24" ht="15" customHeight="1">
      <c r="A24" s="4" t="inlineStr">
        <is>
          <t>Overdue (flagged)</t>
        </is>
      </c>
      <c r="B24" s="24" t="n"/>
      <c r="C24" s="13">
        <f>COUNTIF(F11:F20,"Overdue")</f>
        <v/>
      </c>
    </row>
    <row r="25" ht="15" customHeight="1">
      <c r="A25" s="4" t="inlineStr">
        <is>
          <t>Past due by date</t>
        </is>
      </c>
      <c r="B25" s="24" t="n"/>
      <c r="C25" s="13">
        <f>COUNTIF(E11:E20,"&lt;"&amp;TODAY())</f>
        <v/>
      </c>
    </row>
    <row r="26"/>
    <row r="27" ht="15" customHeight="1">
      <c r="A27" s="5" t="inlineStr">
        <is>
          <t>Escalation for Missed Items</t>
        </is>
      </c>
    </row>
    <row r="28" ht="15" customHeight="1">
      <c r="A28" s="9" t="inlineStr"/>
    </row>
    <row r="29" ht="15" customHeight="1">
      <c r="A29" s="3" t="inlineStr">
        <is>
          <t>When a scheduled patch cycle is missed or a critical patch is overdue, the County IT Contact is notified within 24 hours and the update is prioritized for the next window.</t>
        </is>
      </c>
    </row>
    <row r="30"/>
    <row r="31" ht="15" customHeight="1">
      <c r="A31" s="5" t="inlineStr">
        <is>
          <t>Source Authority</t>
        </is>
      </c>
    </row>
    <row r="32" ht="15" customHeight="1">
      <c r="A32" s="9" t="inlineStr"/>
    </row>
    <row r="33" ht="15" customHeight="1">
      <c r="A33" s="3" t="inlineStr">
        <is>
          <t>NENA-STA-040.2-2024: §5.5, §6.4</t>
        </is>
      </c>
    </row>
    <row r="34" ht="15" customHeight="1">
      <c r="A34" s="3" t="inlineStr">
        <is>
          <t>NIST SP 800-53 Rev. 5: CM-3, MA-2, SI-2</t>
        </is>
      </c>
    </row>
    <row r="35" ht="15" customHeight="1">
      <c r="A35" s="3" t="n"/>
    </row>
    <row r="36" ht="15" customHeight="1">
      <c r="A36" s="3" t="n"/>
    </row>
    <row r="37"/>
    <row r="38"/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County IT Contact</t>
        </is>
      </c>
      <c r="B41" s="15" t="inlineStr">
        <is>
          <t>Marcus Reed</t>
        </is>
      </c>
      <c r="C41" s="15" t="inlineStr">
        <is>
          <t>/s/ Marcus Reed</t>
        </is>
      </c>
      <c r="D41" s="15" t="inlineStr">
        <is>
          <t>2026-02-16</t>
        </is>
      </c>
      <c r="E41" s="15" t="n"/>
      <c r="F41" s="15" t="n"/>
    </row>
    <row r="42" ht="17" customHeight="1">
      <c r="A42" s="12" t="inlineStr">
        <is>
          <t>Director</t>
        </is>
      </c>
      <c r="B42" s="15" t="inlineStr">
        <is>
          <t>Tracy Holloway</t>
        </is>
      </c>
      <c r="C42" s="15" t="inlineStr">
        <is>
          <t>/s/ Tracy Holloway</t>
        </is>
      </c>
      <c r="D42" s="15" t="inlineStr">
        <is>
          <t>2026-02-16</t>
        </is>
      </c>
      <c r="E42" s="15" t="n"/>
      <c r="F42" s="15" t="n"/>
    </row>
    <row r="43"/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17" customHeight="1">
      <c r="A46" s="12" t="inlineStr">
        <is>
          <t>1</t>
        </is>
      </c>
      <c r="B46" s="12" t="inlineStr">
        <is>
          <t>2026-02-16</t>
        </is>
      </c>
      <c r="C46" s="12" t="inlineStr">
        <is>
          <t>Marcus Reed</t>
        </is>
      </c>
      <c r="D46" s="12" t="inlineStr">
        <is>
          <t>Initial adoption</t>
        </is>
      </c>
      <c r="E46" s="12" t="n"/>
      <c r="F46" s="12" t="n"/>
    </row>
    <row r="47"/>
    <row r="48" ht="30" customHeight="1">
      <c r="A48" s="2" t="n"/>
    </row>
  </sheetData>
  <mergeCells count="28">
    <mergeCell ref="A24:B24"/>
    <mergeCell ref="A27:F27"/>
    <mergeCell ref="A6:B6"/>
    <mergeCell ref="A33:F33"/>
    <mergeCell ref="A2:F2"/>
    <mergeCell ref="C3:F3"/>
    <mergeCell ref="A25:B25"/>
    <mergeCell ref="A32:F32"/>
    <mergeCell ref="C6:F6"/>
    <mergeCell ref="A8:F8"/>
    <mergeCell ref="A22:F22"/>
    <mergeCell ref="A35:F35"/>
    <mergeCell ref="C5:F5"/>
    <mergeCell ref="A3:B3"/>
    <mergeCell ref="A29:F29"/>
    <mergeCell ref="A28:F28"/>
    <mergeCell ref="A44:F44"/>
    <mergeCell ref="C4:F4"/>
    <mergeCell ref="A9:F9"/>
    <mergeCell ref="A5:B5"/>
    <mergeCell ref="A31:F31"/>
    <mergeCell ref="A34:F34"/>
    <mergeCell ref="A23:B23"/>
    <mergeCell ref="A48:F48"/>
    <mergeCell ref="A39:F39"/>
    <mergeCell ref="A4:B4"/>
    <mergeCell ref="A36:F36"/>
    <mergeCell ref="A1:F1"/>
  </mergeCells>
  <dataValidations count="1">
    <dataValidation sqref="F11:F20" showDropDown="0" showInputMessage="0" showErrorMessage="0" allowBlank="1" promptTitle="Status" prompt="Select a status" type="list">
      <formula1>"On track,Due soon,Overdue,Complete"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5"/>
    <col width="20" customWidth="1" min="6" max="6"/>
  </cols>
  <sheetData>
    <row r="1">
      <c r="A1" s="10" t="inlineStr">
        <is>
          <t>Patch Tracking Log</t>
        </is>
      </c>
    </row>
    <row r="2">
      <c r="A2" s="9" t="inlineStr"/>
    </row>
    <row r="3"/>
    <row r="4">
      <c r="A4" s="25" t="inlineStr">
        <is>
          <t>Date Applied</t>
        </is>
      </c>
      <c r="B4" s="25" t="inlineStr">
        <is>
          <t>System / Asset ID</t>
        </is>
      </c>
      <c r="C4" s="25" t="inlineStr">
        <is>
          <t>Patch / Update</t>
        </is>
      </c>
      <c r="D4" s="25" t="inlineStr">
        <is>
          <t>Criticality</t>
        </is>
      </c>
      <c r="E4" s="25" t="inlineStr">
        <is>
          <t>Approver (Role)</t>
        </is>
      </c>
      <c r="F4" s="25" t="inlineStr">
        <is>
          <t>Outcome</t>
        </is>
      </c>
    </row>
    <row r="5">
      <c r="A5" s="21" t="inlineStr">
        <is>
          <t>2026-02-05</t>
        </is>
      </c>
      <c r="B5" s="21" t="inlineStr">
        <is>
          <t>CAD-srv-01</t>
        </is>
      </c>
      <c r="C5" s="21" t="inlineStr">
        <is>
          <t>OS security rollup 2026-02</t>
        </is>
      </c>
      <c r="D5" s="21" t="inlineStr">
        <is>
          <t>Critical</t>
        </is>
      </c>
      <c r="E5" s="21" t="inlineStr">
        <is>
          <t>County IT / Director</t>
        </is>
      </c>
      <c r="F5" s="21" t="inlineStr">
        <is>
          <t>Tested, deployed, success</t>
        </is>
      </c>
    </row>
    <row r="6">
      <c r="A6" s="21" t="inlineStr">
        <is>
          <t>2026-02-05</t>
        </is>
      </c>
      <c r="B6" s="21" t="inlineStr">
        <is>
          <t>WKS (x5)</t>
        </is>
      </c>
      <c r="C6" s="21" t="inlineStr">
        <is>
          <t>Monthly Windows updates</t>
        </is>
      </c>
      <c r="D6" s="21" t="inlineStr">
        <is>
          <t>Standard</t>
        </is>
      </c>
      <c r="E6" s="21" t="inlineStr">
        <is>
          <t>County IT Contact</t>
        </is>
      </c>
      <c r="F6" s="21" t="inlineStr">
        <is>
          <t>Deployed, success</t>
        </is>
      </c>
    </row>
    <row r="7">
      <c r="A7" s="21" t="inlineStr">
        <is>
          <t>2026-02-12</t>
        </is>
      </c>
      <c r="B7" s="21" t="inlineStr">
        <is>
          <t>FW-01</t>
        </is>
      </c>
      <c r="C7" s="21" t="inlineStr">
        <is>
          <t>Firewall firmware 9.2.1</t>
        </is>
      </c>
      <c r="D7" s="21" t="inlineStr">
        <is>
          <t>Critical</t>
        </is>
      </c>
      <c r="E7" s="21" t="inlineStr">
        <is>
          <t>County IT Contact</t>
        </is>
      </c>
      <c r="F7" s="21" t="inlineStr">
        <is>
          <t>Tested, deployed, success</t>
        </is>
      </c>
    </row>
    <row r="8">
      <c r="A8" s="21" t="n"/>
      <c r="B8" s="21" t="n"/>
      <c r="C8" s="21" t="n"/>
      <c r="D8" s="21" t="n"/>
      <c r="E8" s="21" t="n"/>
      <c r="F8" s="21" t="n"/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  <row r="15">
      <c r="A15" s="21" t="n"/>
      <c r="B15" s="21" t="n"/>
      <c r="C15" s="21" t="n"/>
      <c r="D15" s="21" t="n"/>
      <c r="E15" s="21" t="n"/>
      <c r="F15" s="21" t="n"/>
    </row>
    <row r="16">
      <c r="A16" s="21" t="n"/>
      <c r="B16" s="21" t="n"/>
      <c r="C16" s="21" t="n"/>
      <c r="D16" s="21" t="n"/>
      <c r="E16" s="21" t="n"/>
      <c r="F16" s="21" t="n"/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2026-07-14T16:22:29Z</dcterms:modified>
  <cp:lastModifiedBy>Jason Jeffares</cp:lastModifiedBy>
  <cp:revision>0</cp:revision>
</cp:coreProperties>
</file>
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Wabash Valley Communications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Manager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2.0      Effective Date 2026-02-02      Next Review 2026-05-02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quarterly by the County IT Manager. Update method: manual, with a monthly network discovery scan; entries reflect changes within 3 business days.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v9.0 / fw 4.2</t>
        </is>
      </c>
      <c r="F12" s="8" t="inlineStr">
        <is>
          <t>County IT Manager</t>
        </is>
      </c>
      <c r="G12" s="8" t="inlineStr">
        <is>
          <t>Primary equipment room</t>
        </is>
      </c>
      <c r="H12" s="8" t="inlineStr">
        <is>
          <t>CAD VLAN</t>
        </is>
      </c>
      <c r="I12" s="8" t="inlineStr">
        <is>
          <t>Active</t>
        </is>
      </c>
      <c r="J12" s="8" t="inlineStr">
        <is>
          <t>2026-01-28</t>
        </is>
      </c>
      <c r="K12" s="8" t="inlineStr">
        <is>
          <t>2026-04-28</t>
        </is>
      </c>
    </row>
    <row r="13" ht="19.5" customHeight="1">
      <c r="A13" s="8" t="inlineStr">
        <is>
          <t>AST-002</t>
        </is>
      </c>
      <c r="B13" s="8" t="inlineStr">
        <is>
          <t>Secondary CAD server (failover)</t>
        </is>
      </c>
      <c r="C13" s="8" t="inlineStr">
        <is>
          <t>Hardware</t>
        </is>
      </c>
      <c r="D13" s="8" t="inlineStr">
        <is>
          <t>Rackmount server, Vendor A</t>
        </is>
      </c>
      <c r="E13" s="8" t="inlineStr">
        <is>
          <t>App v9.0 / fw 4.2</t>
        </is>
      </c>
      <c r="F13" s="8" t="inlineStr">
        <is>
          <t>County IT Manager</t>
        </is>
      </c>
      <c r="G13" s="8" t="inlineStr">
        <is>
          <t>Secondary equipment room</t>
        </is>
      </c>
      <c r="H13" s="8" t="inlineStr">
        <is>
          <t>CAD VLAN</t>
        </is>
      </c>
      <c r="I13" s="8" t="inlineStr">
        <is>
          <t>Active</t>
        </is>
      </c>
      <c r="J13" s="8" t="inlineStr">
        <is>
          <t>2026-01-28</t>
        </is>
      </c>
      <c r="K13" s="8" t="inlineStr">
        <is>
          <t>2026-04-28</t>
        </is>
      </c>
    </row>
    <row r="14" ht="19.5" customHeight="1">
      <c r="A14" s="8" t="inlineStr">
        <is>
          <t>AST-003</t>
        </is>
      </c>
      <c r="B14" s="8" t="inlineStr">
        <is>
          <t>GIS / mapping server</t>
        </is>
      </c>
      <c r="C14" s="8" t="inlineStr">
        <is>
          <t>Hardware</t>
        </is>
      </c>
      <c r="D14" s="8" t="inlineStr">
        <is>
          <t>Rackmount server, Vendor A</t>
        </is>
      </c>
      <c r="E14" s="8" t="inlineStr">
        <is>
          <t>fw 4.0</t>
        </is>
      </c>
      <c r="F14" s="8" t="inlineStr">
        <is>
          <t>County IT Manager</t>
        </is>
      </c>
      <c r="G14" s="8" t="inlineStr">
        <is>
          <t>Primary equipment room</t>
        </is>
      </c>
      <c r="H14" s="8" t="inlineStr">
        <is>
          <t>CAD VLAN</t>
        </is>
      </c>
      <c r="I14" s="8" t="inlineStr">
        <is>
          <t>Active</t>
        </is>
      </c>
      <c r="J14" s="8" t="inlineStr">
        <is>
          <t>2026-01-28</t>
        </is>
      </c>
      <c r="K14" s="8" t="inlineStr">
        <is>
          <t>2026-04-28</t>
        </is>
      </c>
    </row>
    <row r="15" ht="19.5" customHeight="1">
      <c r="A15" s="8" t="inlineStr">
        <is>
          <t>AST-004</t>
        </is>
      </c>
      <c r="B15" s="8" t="inlineStr">
        <is>
          <t>Call-handling workstation 1</t>
        </is>
      </c>
      <c r="C15" s="8" t="inlineStr">
        <is>
          <t>Hardware</t>
        </is>
      </c>
      <c r="D15" s="8" t="inlineStr">
        <is>
          <t>Dispatch workstation, standard build</t>
        </is>
      </c>
      <c r="E15" s="8" t="inlineStr">
        <is>
          <t>OS current supported build</t>
        </is>
      </c>
      <c r="F15" s="8" t="inlineStr">
        <is>
          <t>County IT Manager</t>
        </is>
      </c>
      <c r="G15" s="8" t="inlineStr">
        <is>
          <t>Dispatch floor position 1</t>
        </is>
      </c>
      <c r="H15" s="8" t="inlineStr">
        <is>
          <t>Dispatch VLAN</t>
        </is>
      </c>
      <c r="I15" s="8" t="inlineStr">
        <is>
          <t>Active</t>
        </is>
      </c>
      <c r="J15" s="8" t="inlineStr">
        <is>
          <t>2026-01-28</t>
        </is>
      </c>
      <c r="K15" s="8" t="inlineStr">
        <is>
          <t>2026-04-28</t>
        </is>
      </c>
    </row>
    <row r="16" ht="19.5" customHeight="1">
      <c r="A16" s="8" t="inlineStr">
        <is>
          <t>AST-005</t>
        </is>
      </c>
      <c r="B16" s="8" t="inlineStr">
        <is>
          <t>Call-handling workstation 2</t>
        </is>
      </c>
      <c r="C16" s="8" t="inlineStr">
        <is>
          <t>Hardware</t>
        </is>
      </c>
      <c r="D16" s="8" t="inlineStr">
        <is>
          <t>Dispatch workstation, standard build</t>
        </is>
      </c>
      <c r="E16" s="8" t="inlineStr">
        <is>
          <t>OS current supported build</t>
        </is>
      </c>
      <c r="F16" s="8" t="inlineStr">
        <is>
          <t>County IT Manager</t>
        </is>
      </c>
      <c r="G16" s="8" t="inlineStr">
        <is>
          <t>Dispatch floor position 2</t>
        </is>
      </c>
      <c r="H16" s="8" t="inlineStr">
        <is>
          <t>Dispatch VLAN</t>
        </is>
      </c>
      <c r="I16" s="8" t="inlineStr">
        <is>
          <t>Active</t>
        </is>
      </c>
      <c r="J16" s="8" t="inlineStr">
        <is>
          <t>2026-01-28</t>
        </is>
      </c>
      <c r="K16" s="8" t="inlineStr">
        <is>
          <t>2026-04-28</t>
        </is>
      </c>
    </row>
    <row r="17" ht="19.5" customHeight="1">
      <c r="A17" s="8" t="inlineStr">
        <is>
          <t>AST-006</t>
        </is>
      </c>
      <c r="B17" s="8" t="inlineStr">
        <is>
          <t>Call-handling workstation 3</t>
        </is>
      </c>
      <c r="C17" s="8" t="inlineStr">
        <is>
          <t>Hardware</t>
        </is>
      </c>
      <c r="D17" s="8" t="inlineStr">
        <is>
          <t>Dispatch workstation, standard build</t>
        </is>
      </c>
      <c r="E17" s="8" t="inlineStr">
        <is>
          <t>OS current supported build</t>
        </is>
      </c>
      <c r="F17" s="8" t="inlineStr">
        <is>
          <t>County IT Manager</t>
        </is>
      </c>
      <c r="G17" s="8" t="inlineStr">
        <is>
          <t>Dispatch floor position 3</t>
        </is>
      </c>
      <c r="H17" s="8" t="inlineStr">
        <is>
          <t>Dispatch VLAN</t>
        </is>
      </c>
      <c r="I17" s="8" t="inlineStr">
        <is>
          <t>Active</t>
        </is>
      </c>
      <c r="J17" s="8" t="inlineStr">
        <is>
          <t>2026-01-28</t>
        </is>
      </c>
      <c r="K17" s="8" t="inlineStr">
        <is>
          <t>2026-04-28</t>
        </is>
      </c>
    </row>
    <row r="18" ht="19.5" customHeight="1">
      <c r="A18" s="8" t="inlineStr">
        <is>
          <t>AST-007</t>
        </is>
      </c>
      <c r="B18" s="8" t="inlineStr">
        <is>
          <t>Call-handling workstation 4</t>
        </is>
      </c>
      <c r="C18" s="8" t="inlineStr">
        <is>
          <t>Hardware</t>
        </is>
      </c>
      <c r="D18" s="8" t="inlineStr">
        <is>
          <t>Dispatch workstation, standard build</t>
        </is>
      </c>
      <c r="E18" s="8" t="inlineStr">
        <is>
          <t>OS current supported build</t>
        </is>
      </c>
      <c r="F18" s="8" t="inlineStr">
        <is>
          <t>County IT Manager</t>
        </is>
      </c>
      <c r="G18" s="8" t="inlineStr">
        <is>
          <t>Dispatch floor position 4</t>
        </is>
      </c>
      <c r="H18" s="8" t="inlineStr">
        <is>
          <t>Dispatch VLAN</t>
        </is>
      </c>
      <c r="I18" s="8" t="inlineStr">
        <is>
          <t>Active</t>
        </is>
      </c>
      <c r="J18" s="8" t="inlineStr">
        <is>
          <t>2026-01-28</t>
        </is>
      </c>
      <c r="K18" s="8" t="inlineStr">
        <is>
          <t>2026-04-28</t>
        </is>
      </c>
    </row>
    <row r="19" ht="19.5" customHeight="1">
      <c r="A19" s="8" t="inlineStr">
        <is>
          <t>AST-008</t>
        </is>
      </c>
      <c r="B19" s="8" t="inlineStr">
        <is>
          <t>Call-handling workstation 5</t>
        </is>
      </c>
      <c r="C19" s="8" t="inlineStr">
        <is>
          <t>Hardware</t>
        </is>
      </c>
      <c r="D19" s="8" t="inlineStr">
        <is>
          <t>Dispatch workstation, standard build</t>
        </is>
      </c>
      <c r="E19" s="8" t="inlineStr">
        <is>
          <t>OS current supported build</t>
        </is>
      </c>
      <c r="F19" s="8" t="inlineStr">
        <is>
          <t>County IT Manager</t>
        </is>
      </c>
      <c r="G19" s="8" t="inlineStr">
        <is>
          <t>Dispatch floor position 5</t>
        </is>
      </c>
      <c r="H19" s="8" t="inlineStr">
        <is>
          <t>Dispatch VLAN</t>
        </is>
      </c>
      <c r="I19" s="8" t="inlineStr">
        <is>
          <t>Active</t>
        </is>
      </c>
      <c r="J19" s="8" t="inlineStr">
        <is>
          <t>2026-01-28</t>
        </is>
      </c>
      <c r="K19" s="8" t="inlineStr">
        <is>
          <t>2026-04-28</t>
        </is>
      </c>
    </row>
    <row r="20" ht="19.5" customHeight="1">
      <c r="A20" s="8" t="inlineStr">
        <is>
          <t>AST-009</t>
        </is>
      </c>
      <c r="B20" s="8" t="inlineStr">
        <is>
          <t>Call-handling workstation 6</t>
        </is>
      </c>
      <c r="C20" s="8" t="inlineStr">
        <is>
          <t>Hardware</t>
        </is>
      </c>
      <c r="D20" s="8" t="inlineStr">
        <is>
          <t>Dispatch workstation, standard build</t>
        </is>
      </c>
      <c r="E20" s="8" t="inlineStr">
        <is>
          <t>OS current supported build</t>
        </is>
      </c>
      <c r="F20" s="8" t="inlineStr">
        <is>
          <t>County IT Manager</t>
        </is>
      </c>
      <c r="G20" s="8" t="inlineStr">
        <is>
          <t>Dispatch floor position 6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2026-01-28</t>
        </is>
      </c>
      <c r="K20" s="8" t="inlineStr">
        <is>
          <t>2026-04-28</t>
        </is>
      </c>
    </row>
    <row r="21" ht="19.5" customHeight="1">
      <c r="A21" s="8" t="inlineStr">
        <is>
          <t>AST-010</t>
        </is>
      </c>
      <c r="B21" s="8" t="inlineStr">
        <is>
          <t>Voice logging recorder (primary)</t>
        </is>
      </c>
      <c r="C21" s="8" t="inlineStr">
        <is>
          <t>Hardware</t>
        </is>
      </c>
      <c r="D21" s="8" t="inlineStr">
        <is>
          <t>Logging appliance, Vendor B</t>
        </is>
      </c>
      <c r="E21" s="8" t="inlineStr">
        <is>
          <t>fw 6.1</t>
        </is>
      </c>
      <c r="F21" s="8" t="inlineStr">
        <is>
          <t>Security Coordinator</t>
        </is>
      </c>
      <c r="G21" s="8" t="inlineStr">
        <is>
          <t>Primary equipment room</t>
        </is>
      </c>
      <c r="H21" s="8" t="inlineStr">
        <is>
          <t>Dispatch VLAN</t>
        </is>
      </c>
      <c r="I21" s="8" t="inlineStr">
        <is>
          <t>Active</t>
        </is>
      </c>
      <c r="J21" s="8" t="inlineStr">
        <is>
          <t>2026-01-28</t>
        </is>
      </c>
      <c r="K21" s="8" t="inlineStr">
        <is>
          <t>2026-04-28</t>
        </is>
      </c>
    </row>
    <row r="22" ht="19.5" customHeight="1">
      <c r="A22" s="8" t="inlineStr">
        <is>
          <t>AST-011</t>
        </is>
      </c>
      <c r="B22" s="8" t="inlineStr">
        <is>
          <t>Voice logging recorder (secondary)</t>
        </is>
      </c>
      <c r="C22" s="8" t="inlineStr">
        <is>
          <t>Hardware</t>
        </is>
      </c>
      <c r="D22" s="8" t="inlineStr">
        <is>
          <t>Logging appliance, Vendor B</t>
        </is>
      </c>
      <c r="E22" s="8" t="inlineStr">
        <is>
          <t>fw 6.1</t>
        </is>
      </c>
      <c r="F22" s="8" t="inlineStr">
        <is>
          <t>Security Coordinator</t>
        </is>
      </c>
      <c r="G22" s="8" t="inlineStr">
        <is>
          <t>Secondary equipment room</t>
        </is>
      </c>
      <c r="H22" s="8" t="inlineStr">
        <is>
          <t>Dispatch VLAN</t>
        </is>
      </c>
      <c r="I22" s="8" t="inlineStr">
        <is>
          <t>Active</t>
        </is>
      </c>
      <c r="J22" s="8" t="inlineStr">
        <is>
          <t>2026-01-28</t>
        </is>
      </c>
      <c r="K22" s="8" t="inlineStr">
        <is>
          <t>2026-04-28</t>
        </is>
      </c>
    </row>
    <row r="23" ht="19.5" customHeight="1">
      <c r="A23" s="8" t="inlineStr">
        <is>
          <t>AST-012</t>
        </is>
      </c>
      <c r="B23" s="8" t="inlineStr">
        <is>
          <t>Core switch pair</t>
        </is>
      </c>
      <c r="C23" s="8" t="inlineStr">
        <is>
          <t>Hardware</t>
        </is>
      </c>
      <c r="D23" s="8" t="inlineStr">
        <is>
          <t>Managed switch, Vendor C</t>
        </is>
      </c>
      <c r="E23" s="8" t="inlineStr">
        <is>
          <t>fw 3.2</t>
        </is>
      </c>
      <c r="F23" s="8" t="inlineStr">
        <is>
          <t>County IT Manager</t>
        </is>
      </c>
      <c r="G23" s="8" t="inlineStr">
        <is>
          <t>Both equipment rooms</t>
        </is>
      </c>
      <c r="H23" s="8" t="inlineStr">
        <is>
          <t>Core</t>
        </is>
      </c>
      <c r="I23" s="8" t="inlineStr">
        <is>
          <t>Active</t>
        </is>
      </c>
      <c r="J23" s="8" t="inlineStr">
        <is>
          <t>2026-01-28</t>
        </is>
      </c>
      <c r="K23" s="8" t="inlineStr">
        <is>
          <t>2026-04-28</t>
        </is>
      </c>
    </row>
    <row r="24" ht="19.5" customHeight="1">
      <c r="A24" s="8" t="inlineStr">
        <is>
          <t>AST-013</t>
        </is>
      </c>
      <c r="B24" s="8" t="inlineStr">
        <is>
          <t>Perimeter firewall pair</t>
        </is>
      </c>
      <c r="C24" s="8" t="inlineStr">
        <is>
          <t>Hardware</t>
        </is>
      </c>
      <c r="D24" s="8" t="inlineStr">
        <is>
          <t>Security appliance, Vendor C</t>
        </is>
      </c>
      <c r="E24" s="8" t="inlineStr">
        <is>
          <t>fw 9.4</t>
        </is>
      </c>
      <c r="F24" s="8" t="inlineStr">
        <is>
          <t>County IT Manager</t>
        </is>
      </c>
      <c r="G24" s="8" t="inlineStr">
        <is>
          <t>Both equipment rooms</t>
        </is>
      </c>
      <c r="H24" s="8" t="inlineStr">
        <is>
          <t>Perimeter</t>
        </is>
      </c>
      <c r="I24" s="8" t="inlineStr">
        <is>
          <t>Active</t>
        </is>
      </c>
      <c r="J24" s="8" t="inlineStr">
        <is>
          <t>2026-01-28</t>
        </is>
      </c>
      <c r="K24" s="8" t="inlineStr">
        <is>
          <t>2026-04-28</t>
        </is>
      </c>
    </row>
    <row r="25" ht="19.5" customHeight="1">
      <c r="A25" s="8" t="inlineStr">
        <is>
          <t>AST-014</t>
        </is>
      </c>
      <c r="B25" s="8" t="inlineStr">
        <is>
          <t>Records management system (cloud)</t>
        </is>
      </c>
      <c r="C25" s="8" t="inlineStr">
        <is>
          <t>Software</t>
        </is>
      </c>
      <c r="D25" s="8" t="inlineStr">
        <is>
          <t>Cloud-hosted RMS (vendor SaaS)</t>
        </is>
      </c>
      <c r="E25" s="8" t="inlineStr">
        <is>
          <t>Vendor-managed</t>
        </is>
      </c>
      <c r="F25" s="8" t="inlineStr">
        <is>
          <t>County IT Manager</t>
        </is>
      </c>
      <c r="G25" s="8" t="inlineStr">
        <is>
          <t>Vendor cloud</t>
        </is>
      </c>
      <c r="H25" s="8" t="inlineStr">
        <is>
          <t>Internet (TLS)</t>
        </is>
      </c>
      <c r="I25" s="8" t="inlineStr">
        <is>
          <t>Active</t>
        </is>
      </c>
      <c r="J25" s="8" t="inlineStr">
        <is>
          <t>2026-01-28</t>
        </is>
      </c>
      <c r="K25" s="8" t="inlineStr">
        <is>
          <t>2026-04-28</t>
        </is>
      </c>
    </row>
    <row r="26" ht="19.5" customHeight="1">
      <c r="A26" s="8" t="inlineStr">
        <is>
          <t>AST-015</t>
        </is>
      </c>
      <c r="B26" s="8" t="inlineStr">
        <is>
          <t>ESInet edge devices (dual)</t>
        </is>
      </c>
      <c r="C26" s="8" t="inlineStr">
        <is>
          <t>Hardware</t>
        </is>
      </c>
      <c r="D26" s="8" t="inlineStr">
        <is>
          <t>Provider-managed edge device</t>
        </is>
      </c>
      <c r="E26" s="8" t="inlineStr">
        <is>
          <t>Provider-managed</t>
        </is>
      </c>
      <c r="F26" s="8" t="inlineStr">
        <is>
          <t>ESInet Provider</t>
        </is>
      </c>
      <c r="G26" s="8" t="inlineStr">
        <is>
          <t>Both demarcation points</t>
        </is>
      </c>
      <c r="H26" s="8" t="inlineStr">
        <is>
          <t>ESInet uplinks</t>
        </is>
      </c>
      <c r="I26" s="8" t="inlineStr">
        <is>
          <t>Active</t>
        </is>
      </c>
      <c r="J26" s="8" t="inlineStr">
        <is>
          <t>2026-01-28</t>
        </is>
      </c>
      <c r="K26" s="8" t="inlineStr">
        <is>
          <t>2026-04-28</t>
        </is>
      </c>
    </row>
    <row r="27" ht="15" customHeight="1"/>
    <row r="28" ht="15" customHeight="1">
      <c r="A28" s="6" t="inlineStr">
        <is>
          <t>Register B: Endpoint Detail View</t>
        </is>
      </c>
    </row>
    <row r="29" ht="42" customHeight="1">
      <c r="A29" s="7" t="inlineStr">
        <is>
          <t>Endpoint ID</t>
        </is>
      </c>
      <c r="B29" s="7" t="inlineStr">
        <is>
          <t>Device Type</t>
        </is>
      </c>
      <c r="C29" s="7" t="inlineStr">
        <is>
          <t>OS &amp; Version</t>
        </is>
      </c>
      <c r="D29" s="7" t="inlineStr">
        <is>
          <t>Patch Level / Last Patched</t>
        </is>
      </c>
      <c r="E29" s="7" t="inlineStr">
        <is>
          <t>Endpoint Security Agent</t>
        </is>
      </c>
      <c r="F29" s="7" t="inlineStr">
        <is>
          <t>Last Seen / Check-in</t>
        </is>
      </c>
      <c r="G29" s="7" t="inlineStr">
        <is>
          <t>Owner (Role)</t>
        </is>
      </c>
    </row>
    <row r="30" ht="19.5" customHeight="1">
      <c r="A30" s="8" t="inlineStr">
        <is>
          <t>AST-001</t>
        </is>
      </c>
      <c r="B30" s="8" t="inlineStr">
        <is>
          <t>Server</t>
        </is>
      </c>
      <c r="C30" s="8" t="inlineStr">
        <is>
          <t>Server OS, current supported build</t>
        </is>
      </c>
      <c r="D30" s="8" t="inlineStr">
        <is>
          <t>Current / 2026-01-20</t>
        </is>
      </c>
      <c r="E30" s="8" t="inlineStr">
        <is>
          <t>EDR agent (managed)</t>
        </is>
      </c>
      <c r="F30" s="8" t="inlineStr">
        <is>
          <t>2026-01-28</t>
        </is>
      </c>
      <c r="G30" s="8" t="inlineStr">
        <is>
          <t>County IT Manager</t>
        </is>
      </c>
    </row>
    <row r="31" ht="19.5" customHeight="1">
      <c r="A31" s="8" t="inlineStr">
        <is>
          <t>AST-002</t>
        </is>
      </c>
      <c r="B31" s="8" t="inlineStr">
        <is>
          <t>Server</t>
        </is>
      </c>
      <c r="C31" s="8" t="inlineStr">
        <is>
          <t>Server OS, current supported build</t>
        </is>
      </c>
      <c r="D31" s="8" t="inlineStr">
        <is>
          <t>Current / 2026-01-20</t>
        </is>
      </c>
      <c r="E31" s="8" t="inlineStr">
        <is>
          <t>EDR agent (managed)</t>
        </is>
      </c>
      <c r="F31" s="8" t="inlineStr">
        <is>
          <t>2026-01-28</t>
        </is>
      </c>
      <c r="G31" s="8" t="inlineStr">
        <is>
          <t>County IT Manager</t>
        </is>
      </c>
    </row>
    <row r="32" ht="19.5" customHeight="1">
      <c r="A32" s="8" t="inlineStr">
        <is>
          <t>AST-003</t>
        </is>
      </c>
      <c r="B32" s="8" t="inlineStr">
        <is>
          <t>Server</t>
        </is>
      </c>
      <c r="C32" s="8" t="inlineStr">
        <is>
          <t>Server OS, current supported build</t>
        </is>
      </c>
      <c r="D32" s="8" t="inlineStr">
        <is>
          <t>Current / 2026-01-20</t>
        </is>
      </c>
      <c r="E32" s="8" t="inlineStr">
        <is>
          <t>EDR agent (managed)</t>
        </is>
      </c>
      <c r="F32" s="8" t="inlineStr">
        <is>
          <t>2026-01-28</t>
        </is>
      </c>
      <c r="G32" s="8" t="inlineStr">
        <is>
          <t>County IT Manager</t>
        </is>
      </c>
    </row>
    <row r="33" ht="19.5" customHeight="1">
      <c r="A33" s="8" t="inlineStr">
        <is>
          <t>AST-004</t>
        </is>
      </c>
      <c r="B33" s="8" t="inlineStr">
        <is>
          <t>Workstation</t>
        </is>
      </c>
      <c r="C33" s="8" t="inlineStr">
        <is>
          <t>Workstation OS, current supported build</t>
        </is>
      </c>
      <c r="D33" s="8" t="inlineStr">
        <is>
          <t>Current / 2026-01-20</t>
        </is>
      </c>
      <c r="E33" s="8" t="inlineStr">
        <is>
          <t>EDR agent (managed)</t>
        </is>
      </c>
      <c r="F33" s="8" t="inlineStr">
        <is>
          <t>2026-01-28</t>
        </is>
      </c>
      <c r="G33" s="8" t="inlineStr">
        <is>
          <t>County IT Manager</t>
        </is>
      </c>
    </row>
    <row r="34" ht="19.5" customHeight="1">
      <c r="A34" s="8" t="inlineStr">
        <is>
          <t>AST-005</t>
        </is>
      </c>
      <c r="B34" s="8" t="inlineStr">
        <is>
          <t>Workstation</t>
        </is>
      </c>
      <c r="C34" s="8" t="inlineStr">
        <is>
          <t>Workstation OS, current supported build</t>
        </is>
      </c>
      <c r="D34" s="8" t="inlineStr">
        <is>
          <t>Current / 2026-01-20</t>
        </is>
      </c>
      <c r="E34" s="8" t="inlineStr">
        <is>
          <t>EDR agent (managed)</t>
        </is>
      </c>
      <c r="F34" s="8" t="inlineStr">
        <is>
          <t>2026-01-28</t>
        </is>
      </c>
      <c r="G34" s="8" t="inlineStr">
        <is>
          <t>County IT Manager</t>
        </is>
      </c>
    </row>
    <row r="35" ht="19.5" customHeight="1">
      <c r="A35" s="8" t="inlineStr">
        <is>
          <t>AST-006</t>
        </is>
      </c>
      <c r="B35" s="8" t="inlineStr">
        <is>
          <t>Workstation</t>
        </is>
      </c>
      <c r="C35" s="8" t="inlineStr">
        <is>
          <t>Workstation OS, current supported build</t>
        </is>
      </c>
      <c r="D35" s="8" t="inlineStr">
        <is>
          <t>Current / 2026-01-20</t>
        </is>
      </c>
      <c r="E35" s="8" t="inlineStr">
        <is>
          <t>EDR agent (managed)</t>
        </is>
      </c>
      <c r="F35" s="8" t="inlineStr">
        <is>
          <t>2026-01-27</t>
        </is>
      </c>
      <c r="G35" s="8" t="inlineStr">
        <is>
          <t>County IT Manager</t>
        </is>
      </c>
    </row>
    <row r="36" ht="19.5" customHeight="1">
      <c r="A36" s="8" t="inlineStr">
        <is>
          <t>AST-007</t>
        </is>
      </c>
      <c r="B36" s="8" t="inlineStr">
        <is>
          <t>Workstation</t>
        </is>
      </c>
      <c r="C36" s="8" t="inlineStr">
        <is>
          <t>Workstation OS, current supported build</t>
        </is>
      </c>
      <c r="D36" s="8" t="inlineStr">
        <is>
          <t>Current / 2026-01-20</t>
        </is>
      </c>
      <c r="E36" s="8" t="inlineStr">
        <is>
          <t>EDR agent (managed)</t>
        </is>
      </c>
      <c r="F36" s="8" t="inlineStr">
        <is>
          <t>2026-01-27</t>
        </is>
      </c>
      <c r="G36" s="8" t="inlineStr">
        <is>
          <t>County IT Manager</t>
        </is>
      </c>
    </row>
    <row r="37" ht="19.5" customHeight="1">
      <c r="A37" s="8" t="inlineStr">
        <is>
          <t>AST-009</t>
        </is>
      </c>
      <c r="B37" s="8" t="inlineStr">
        <is>
          <t>Workstation</t>
        </is>
      </c>
      <c r="C37" s="8" t="inlineStr">
        <is>
          <t>Workstation OS, current supported build</t>
        </is>
      </c>
      <c r="D37" s="8" t="inlineStr">
        <is>
          <t>Current / 2026-01-20</t>
        </is>
      </c>
      <c r="E37" s="8" t="inlineStr">
        <is>
          <t>EDR agent (managed)</t>
        </is>
      </c>
      <c r="F37" s="8" t="inlineStr">
        <is>
          <t>2026-01-26</t>
        </is>
      </c>
      <c r="G37" s="8" t="inlineStr">
        <is>
          <t>County IT Manager</t>
        </is>
      </c>
    </row>
    <row r="38" ht="15" customHeight="1"/>
    <row r="39" ht="15" customHeight="1">
      <c r="A39" s="6" t="inlineStr">
        <is>
          <t>Summary</t>
        </is>
      </c>
    </row>
    <row r="40" ht="15" customHeight="1">
      <c r="A40" s="9" t="inlineStr">
        <is>
          <t>Total assets</t>
        </is>
      </c>
      <c r="C40" s="10">
        <f>COUNTA(A12:A26)</f>
        <v/>
      </c>
    </row>
    <row r="41" ht="15" customHeight="1">
      <c r="A41" s="9" t="inlineStr">
        <is>
          <t>Active</t>
        </is>
      </c>
      <c r="C41" s="10">
        <f>COUNTIF(I12:I26,"Active")</f>
        <v/>
      </c>
    </row>
    <row r="42" ht="15" customHeight="1">
      <c r="A42" s="9" t="inlineStr">
        <is>
          <t>Under review</t>
        </is>
      </c>
      <c r="C42" s="10">
        <f>COUNTIF(I12:I26,"Under Review")</f>
        <v/>
      </c>
    </row>
    <row r="43" ht="15" customHeight="1">
      <c r="A43" s="9" t="inlineStr">
        <is>
          <t>Retired</t>
        </is>
      </c>
      <c r="C43" s="10">
        <f>COUNTIF(I12:I26,"Retired")</f>
        <v/>
      </c>
    </row>
    <row r="44" ht="15" customHeight="1">
      <c r="A44" s="9" t="inlineStr">
        <is>
          <t>Decommissioned</t>
        </is>
      </c>
      <c r="C44" s="10">
        <f>COUNTIF(I12:I26,"Decommissioned")</f>
        <v/>
      </c>
    </row>
    <row r="45" ht="15" customHeight="1">
      <c r="A45" s="9" t="inlineStr">
        <is>
          <t>Past due for review</t>
        </is>
      </c>
      <c r="C45" s="10">
        <f>COUNTIF(K12:K26,"&lt;"&amp;TODAY())</f>
        <v/>
      </c>
    </row>
    <row r="46" ht="15" customHeight="1"/>
    <row r="47" ht="15" customHeight="1">
      <c r="A47" s="6" t="inlineStr">
        <is>
          <t>Downstream Use</t>
        </is>
      </c>
    </row>
    <row r="48" ht="30" customHeight="1">
      <c r="A48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49" ht="15" customHeight="1"/>
    <row r="50" ht="15" customHeight="1">
      <c r="A50" s="6" t="inlineStr">
        <is>
          <t>Source Authority</t>
        </is>
      </c>
    </row>
    <row r="51" ht="15" customHeight="1">
      <c r="A51" s="11" t="inlineStr">
        <is>
          <t>NENA-STA-040.2-2024: §5.4, §5.5</t>
        </is>
      </c>
    </row>
    <row r="52" ht="15" customHeight="1">
      <c r="A52" s="11" t="inlineStr">
        <is>
          <t>NIST SP 800-53 Rev. 5: CM-8, PM-5, SI-2, SI-3</t>
        </is>
      </c>
    </row>
    <row r="53" ht="15" customHeight="1"/>
    <row r="54" ht="15" customHeight="1">
      <c r="A54" s="6" t="inlineStr">
        <is>
          <t>Approval Signatures</t>
        </is>
      </c>
    </row>
    <row r="55" ht="17" customHeight="1">
      <c r="A55" s="7" t="inlineStr">
        <is>
          <t>Role</t>
        </is>
      </c>
      <c r="B55" s="7" t="inlineStr">
        <is>
          <t>Name</t>
        </is>
      </c>
      <c r="C55" s="7" t="inlineStr">
        <is>
          <t>Signature</t>
        </is>
      </c>
      <c r="D55" s="7" t="inlineStr">
        <is>
          <t>Date</t>
        </is>
      </c>
    </row>
    <row r="56" ht="26" customHeight="1">
      <c r="A56" s="12" t="inlineStr">
        <is>
          <t>Director</t>
        </is>
      </c>
      <c r="B56" s="12" t="inlineStr">
        <is>
          <t>Anthony Reyes</t>
        </is>
      </c>
      <c r="C56" s="13" t="inlineStr">
        <is>
          <t>Anthony Reyes</t>
        </is>
      </c>
      <c r="D56" s="12" t="inlineStr">
        <is>
          <t>2026-02-02</t>
        </is>
      </c>
    </row>
    <row r="57" ht="26" customHeight="1">
      <c r="A57" s="12" t="inlineStr">
        <is>
          <t>County IT Manager</t>
        </is>
      </c>
      <c r="B57" s="12" t="inlineStr">
        <is>
          <t>(on file)</t>
        </is>
      </c>
      <c r="C57" s="13" t="inlineStr">
        <is>
          <t>(on file)</t>
        </is>
      </c>
      <c r="D57" s="12" t="inlineStr">
        <is>
          <t>2026-02-02</t>
        </is>
      </c>
    </row>
    <row r="58" ht="15" customHeight="1"/>
    <row r="59" ht="15" customHeight="1">
      <c r="A59" s="6" t="inlineStr">
        <is>
          <t>Revision History</t>
        </is>
      </c>
    </row>
    <row r="60" ht="17" customHeight="1">
      <c r="A60" s="7" t="inlineStr">
        <is>
          <t>Version</t>
        </is>
      </c>
      <c r="B60" s="7" t="inlineStr">
        <is>
          <t>Date</t>
        </is>
      </c>
      <c r="C60" s="7" t="inlineStr">
        <is>
          <t>Author</t>
        </is>
      </c>
      <c r="D60" s="7" t="inlineStr">
        <is>
          <t>Summary of Change</t>
        </is>
      </c>
    </row>
    <row r="61" ht="17" customHeight="1">
      <c r="A61" s="8" t="inlineStr">
        <is>
          <t>1.0</t>
        </is>
      </c>
      <c r="B61" s="8" t="inlineStr">
        <is>
          <t>2025-09-05</t>
        </is>
      </c>
      <c r="C61" s="8" t="inlineStr">
        <is>
          <t>County IT Manager</t>
        </is>
      </c>
      <c r="D61" s="8" t="inlineStr">
        <is>
          <t>Initial issue</t>
        </is>
      </c>
    </row>
    <row r="62" ht="17" customHeight="1">
      <c r="A62" s="8" t="inlineStr">
        <is>
          <t>2.0</t>
        </is>
      </c>
      <c r="B62" s="8" t="inlineStr">
        <is>
          <t>2026-02-02</t>
        </is>
      </c>
      <c r="C62" s="8" t="inlineStr">
        <is>
          <t>County IT Manager</t>
        </is>
      </c>
      <c r="D62" s="8" t="inlineStr">
        <is>
          <t>Added redundant CAD pair and cloud records node; reconciled discovery scan</t>
        </is>
      </c>
    </row>
  </sheetData>
  <mergeCells count="22">
    <mergeCell ref="C1:K1"/>
    <mergeCell ref="A48:K48"/>
    <mergeCell ref="A39:K39"/>
    <mergeCell ref="A59:K59"/>
    <mergeCell ref="A51:K51"/>
    <mergeCell ref="A6:B6"/>
    <mergeCell ref="A7:B7"/>
    <mergeCell ref="A54:K54"/>
    <mergeCell ref="C8:K8"/>
    <mergeCell ref="C7:K7"/>
    <mergeCell ref="A50:K50"/>
    <mergeCell ref="A5:B5"/>
    <mergeCell ref="A2:K2"/>
    <mergeCell ref="A47:K47"/>
    <mergeCell ref="A8:B8"/>
    <mergeCell ref="C6:K6"/>
    <mergeCell ref="A4:B4"/>
    <mergeCell ref="C5:K5"/>
    <mergeCell ref="A52:K52"/>
    <mergeCell ref="A10:K10"/>
    <mergeCell ref="A28:K28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
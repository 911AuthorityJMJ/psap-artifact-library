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/>
  </bookViews>
  <sheets>
    <sheet name="Register" sheetId="1" state="visible" r:id="rId3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<sst xmlns="http://schemas.openxmlformats.org/spreadsheetml/2006/main" count="116" uniqueCount="88">
  <si>
    <t xml:space="preserve">Hickory County 911   ·   Worked Example</t>
  </si>
  <si>
    <t xml:space="preserve">Risk Register</t>
  </si>
  <si>
    <t xml:space="preserve">Authority</t>
  </si>
  <si>
    <t xml:space="preserve">Adopted by Hickory County 911 under the authority of Tracy Holloway, Director.</t>
  </si>
  <si>
    <t xml:space="preserve">Owner</t>
  </si>
  <si>
    <t xml:space="preserve">Director</t>
  </si>
  <si>
    <t xml:space="preserve">Version / Dates</t>
  </si>
  <si>
    <t xml:space="preserve">Version 1.0      Effective Date 2026-02-17      Next Review 2027-02-17</t>
  </si>
  <si>
    <t xml:space="preserve">Classification</t>
  </si>
  <si>
    <t xml:space="preserve">Restricted</t>
  </si>
  <si>
    <t xml:space="preserve">Review cadence</t>
  </si>
  <si>
    <t xml:space="preserve">Reviewed semi-annually by the Director; the register grows through all program phases.</t>
  </si>
  <si>
    <t xml:space="preserve">Risk Register Entries</t>
  </si>
  <si>
    <t xml:space="preserve">Risk ID</t>
  </si>
  <si>
    <t xml:space="preserve">Risk Description</t>
  </si>
  <si>
    <t xml:space="preserve">Source / Category</t>
  </si>
  <si>
    <t xml:space="preserve">Likelihood</t>
  </si>
  <si>
    <t xml:space="preserve">Impact</t>
  </si>
  <si>
    <t xml:space="preserve">Risk Rating</t>
  </si>
  <si>
    <t xml:space="preserve">Treatment Decision</t>
  </si>
  <si>
    <t xml:space="preserve">Risk Owner (Role)</t>
  </si>
  <si>
    <t xml:space="preserve">Status</t>
  </si>
  <si>
    <t xml:space="preserve">Review Date</t>
  </si>
  <si>
    <t xml:space="preserve">Cross-Ref (POA&amp;M / Treatment Log)</t>
  </si>
  <si>
    <t xml:space="preserve">RISK-001</t>
  </si>
  <si>
    <t xml:space="preserve">Single upstream carrier creates a 911 call-delivery single point of failure</t>
  </si>
  <si>
    <t xml:space="preserve">Continuity</t>
  </si>
  <si>
    <t xml:space="preserve">Possible</t>
  </si>
  <si>
    <t xml:space="preserve">Severe</t>
  </si>
  <si>
    <t xml:space="preserve">High</t>
  </si>
  <si>
    <t xml:space="preserve">Treat: pursue a diverse routing option with the ESInet provider</t>
  </si>
  <si>
    <t xml:space="preserve">Open</t>
  </si>
  <si>
    <t xml:space="preserve">2026-07-15</t>
  </si>
  <si>
    <t xml:space="preserve">POA&amp;M-001</t>
  </si>
  <si>
    <t xml:space="preserve">RISK-002</t>
  </si>
  <si>
    <t xml:space="preserve">Unpatched legacy workstation on the dispatch network</t>
  </si>
  <si>
    <t xml:space="preserve">Technical / vulnerability</t>
  </si>
  <si>
    <t xml:space="preserve">Likely</t>
  </si>
  <si>
    <t xml:space="preserve">Major</t>
  </si>
  <si>
    <t xml:space="preserve">Treat: isolate and replace on the next budget cycle</t>
  </si>
  <si>
    <t xml:space="preserve">County IT Administrator</t>
  </si>
  <si>
    <t xml:space="preserve">Treating</t>
  </si>
  <si>
    <t xml:space="preserve">2026-05-15</t>
  </si>
  <si>
    <t xml:space="preserve">POA&amp;M-002</t>
  </si>
  <si>
    <t xml:space="preserve">RISK-003</t>
  </si>
  <si>
    <t xml:space="preserve">County IT staffed by one person creates a coverage gap</t>
  </si>
  <si>
    <t xml:space="preserve">Operational</t>
  </si>
  <si>
    <t xml:space="preserve">Treat: document backup support with county IT and the CAD vendor</t>
  </si>
  <si>
    <t xml:space="preserve">POA&amp;M-003</t>
  </si>
  <si>
    <t xml:space="preserve">RISK-004</t>
  </si>
  <si>
    <t xml:space="preserve">Limited physical security at the co-located server closet</t>
  </si>
  <si>
    <t xml:space="preserve">Physical</t>
  </si>
  <si>
    <t xml:space="preserve">Unlikely</t>
  </si>
  <si>
    <t xml:space="preserve">Moderate</t>
  </si>
  <si>
    <t xml:space="preserve">Accept: compensating locks and an access log are in place</t>
  </si>
  <si>
    <t xml:space="preserve">Accepted</t>
  </si>
  <si>
    <t xml:space="preserve">Treatment Log RT-004</t>
  </si>
  <si>
    <t xml:space="preserve">RISK-005</t>
  </si>
  <si>
    <t xml:space="preserve">Vendor remote access without multi-factor authentication</t>
  </si>
  <si>
    <t xml:space="preserve">Third-party</t>
  </si>
  <si>
    <t xml:space="preserve">Treat: require MFA in the IT support agreement</t>
  </si>
  <si>
    <t xml:space="preserve">POA&amp;M-005</t>
  </si>
  <si>
    <t>Summary (as of 2026-04-09)</t>
  </si>
  <si>
    <t xml:space="preserve">Total risks</t>
  </si>
  <si>
    <t xml:space="preserve">Closed</t>
  </si>
  <si>
    <t xml:space="preserve">Past due for review</t>
  </si>
  <si>
    <t xml:space="preserve">Scope &amp; Boundary</t>
  </si>
  <si>
    <t xml:space="preserve">This register holds enterprise and strategic risks. Assessment findings tracked to closure are recorded in the Risk / Finding Register (POA&amp;M); current treatment state is maintained in the Risk Treatment / Acceptance Decisions Log. Those documents carry the detail; this register references them.</t>
  </si>
  <si>
    <t xml:space="preserve">Likelihood, impact, and rating are scored using the scale defined in the Risk Management Methodology Standard: likelihood from Rare to Almost Certain, impact from Negligible to Severe (against service, data, and life safety), combined into a rating of Low, Moderate, High, or Critical.</t>
  </si>
  <si>
    <t xml:space="preserve">Downstream Use</t>
  </si>
  <si>
    <t xml:space="preserve">This register is the parent risk record. The Risk / Finding Register (POA&amp;M) feeds findings into it, and the Board / Leadership Security Reporting Template rolls it up for leadership.</t>
  </si>
  <si>
    <t xml:space="preserve">Source Authority</t>
  </si>
  <si>
    <t xml:space="preserve">NENA-STA-040.2-2024: §4.3, §4.3.1</t>
  </si>
  <si>
    <t xml:space="preserve">NIST SP 800-53 Rev. 5: CA-5, PM-9, RA-3, RA-7</t>
  </si>
  <si>
    <t xml:space="preserve">Approval Signatures</t>
  </si>
  <si>
    <t xml:space="preserve">Role</t>
  </si>
  <si>
    <t xml:space="preserve">Name</t>
  </si>
  <si>
    <t xml:space="preserve">Signature</t>
  </si>
  <si>
    <t xml:space="preserve">Date</t>
  </si>
  <si>
    <t xml:space="preserve">Tracy Holloway</t>
  </si>
  <si>
    <t xml:space="preserve">2026-02-17</t>
  </si>
  <si>
    <t xml:space="preserve">(on file)</t>
  </si>
  <si>
    <t xml:space="preserve">Revision History</t>
  </si>
  <si>
    <t xml:space="preserve">Version</t>
  </si>
  <si>
    <t xml:space="preserve">Author</t>
  </si>
  <si>
    <t xml:space="preserve">Summary of Change</t>
  </si>
  <si>
    <t xml:space="preserve">1.0</t>
  </si>
  <si>
    <t xml:space="preserve">Initial 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</si>
</sst>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-mm-dd"/>
  </numFmts>
  <fonts count="8">
    <font>
      <sz val="11"/>
      <color theme="1"/>
      <name val="Aptos"/>
      <family val="2"/>
      <charset val="1"/>
    </font>
    <font>
      <sz val="10"/>
      <name val="Aptos"/>
      <family val="0"/>
    </font>
    <font>
      <sz val="10"/>
      <name val="Aptos"/>
      <family val="0"/>
    </font>
    <font>
      <sz val="10"/>
      <name val="Aptos"/>
      <family val="0"/>
    </font>
    <font>
      <b val="true"/>
      <sz val="12"/>
      <color rgb="FF1B3A5C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sz val="12"/>
      <color rgb="FF000000"/>
      <name val="Aptos"/>
      <family val="0"/>
      <charset val="1"/>
    </font>
    <font>
      <b val="true"/>
      <sz val="12"/>
      <color rgb="FFFFFFFF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applyNumberFormat="1"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applyNumberFormat="1"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0</xdr:row>
      <xdr:rowOff>0</xdr:rowOff>
    </xdr:from>
    <xdr:ext cx="857250" cy="857250"/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52240" cy="552240"/>
        </a:xfrm>
        <a:prstGeom prst="rect">
          <a:avLst/>
        </a:prstGeom>
        <a:noFill/>
        <a:ln w="0">
          <a:noFill/>
        </a:ln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4</xdr:col>
      <xdr:colOff>773280</xdr:colOff>
      <xdr:row>10</xdr:row>
      <xdr:rowOff>437760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704880" y="5810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773280</xdr:colOff>
      <xdr:row>29</xdr:row>
      <xdr:rowOff>190080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704880" y="7505640"/>
          <a:ext cx="5143320" cy="323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 pitchFamily="0" charset="1"/>
        <a:ea typeface=""/>
        <a:cs typeface=""/>
      </a:majorFont>
      <a:minorFont>
        <a:latin typeface="Apto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0" showRowColHeaders="true" showZeros="true" rightToLeft="false" tabSelected="true" showOutlineSymbols="true" defaultGridColor="true" view="normal" colorId="64" zoomScale="100" zoomScaleNormal="100" zoomScalePageLayoutView="100" workbookViewId="0">
      <pane xSplit="0" ySplit="11" topLeftCell="A12" activePane="bottomLeft" state="frozen"/>
      <selection pane="topLeft" activeCell="A12" activeCellId="0" sqref="A12"/>
      <selection pane="bottomLeft" activeCell="A12" activeCellId="0" sqref="A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</cols>
  <sheetData>
    <row r="1" customFormat="false" ht="45.7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</row>
    <row r="5" customFormat="false" ht="30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</row>
    <row r="6" customFormat="false" ht="30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</row>
    <row r="7" customFormat="false" ht="30" hidden="false" customHeight="tru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</row>
    <row r="8" customFormat="false" ht="30" hidden="false" customHeight="tru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</row>
    <row r="10" customFormat="false" ht="15" hidden="false" customHeight="false" outlineLevel="0" collapsed="false">
      <c r="A10" s="5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customFormat="false" ht="39.75" hidden="false" customHeight="true" outlineLevel="0" collapsed="false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</row>
    <row r="12" customFormat="false" ht="51" hidden="false" customHeight="true" outlineLevel="0" collapsed="false">
      <c r="A12" s="7" t="s">
        <v>24</v>
      </c>
      <c r="B12" s="7" t="s">
        <v>25</v>
      </c>
      <c r="C12" s="7" t="s">
        <v>26</v>
      </c>
      <c r="D12" s="7" t="s">
        <v>27</v>
      </c>
      <c r="E12" s="7" t="s">
        <v>28</v>
      </c>
      <c r="F12" s="7" t="s">
        <v>29</v>
      </c>
      <c r="G12" s="7" t="s">
        <v>30</v>
      </c>
      <c r="H12" s="7" t="s">
        <v>5</v>
      </c>
      <c r="I12" s="7" t="s">
        <v>31</v>
      </c>
      <c r="J12" s="13">
        <v>46218</v>
      </c>
      <c r="K12" s="7" t="s">
        <v>33</v>
      </c>
    </row>
    <row r="13" customFormat="false" ht="51" hidden="false" customHeight="true" outlineLevel="0" collapsed="false">
      <c r="A13" s="7" t="s">
        <v>34</v>
      </c>
      <c r="B13" s="7" t="s">
        <v>35</v>
      </c>
      <c r="C13" s="7" t="s">
        <v>36</v>
      </c>
      <c r="D13" s="7" t="s">
        <v>37</v>
      </c>
      <c r="E13" s="7" t="s">
        <v>38</v>
      </c>
      <c r="F13" s="7" t="s">
        <v>29</v>
      </c>
      <c r="G13" s="7" t="s">
        <v>39</v>
      </c>
      <c r="H13" s="7" t="s">
        <v>40</v>
      </c>
      <c r="I13" s="7" t="s">
        <v>41</v>
      </c>
      <c r="J13" s="13">
        <v>46157</v>
      </c>
      <c r="K13" s="7" t="s">
        <v>43</v>
      </c>
    </row>
    <row r="14" customFormat="false" ht="51" hidden="false" customHeight="true" outlineLevel="0" collapsed="false">
      <c r="A14" s="7" t="s">
        <v>44</v>
      </c>
      <c r="B14" s="7" t="s">
        <v>45</v>
      </c>
      <c r="C14" s="7" t="s">
        <v>46</v>
      </c>
      <c r="D14" s="7" t="s">
        <v>27</v>
      </c>
      <c r="E14" s="7" t="s">
        <v>38</v>
      </c>
      <c r="F14" s="7" t="s">
        <v>29</v>
      </c>
      <c r="G14" s="7" t="s">
        <v>47</v>
      </c>
      <c r="H14" s="7" t="s">
        <v>5</v>
      </c>
      <c r="I14" s="7" t="s">
        <v>31</v>
      </c>
      <c r="J14" s="13">
        <v>46218</v>
      </c>
      <c r="K14" s="7" t="s">
        <v>48</v>
      </c>
    </row>
    <row r="15" customFormat="false" ht="51" hidden="false" customHeight="true" outlineLevel="0" collapsed="false">
      <c r="A15" s="7" t="s">
        <v>49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53</v>
      </c>
      <c r="G15" s="7" t="s">
        <v>54</v>
      </c>
      <c r="H15" s="7" t="s">
        <v>5</v>
      </c>
      <c r="I15" s="7" t="s">
        <v>55</v>
      </c>
      <c r="J15" s="13">
        <v>46218</v>
      </c>
      <c r="K15" s="7" t="s">
        <v>56</v>
      </c>
    </row>
    <row r="16" customFormat="false" ht="36" hidden="false" customHeight="true" outlineLevel="0" collapsed="false">
      <c r="A16" s="7" t="s">
        <v>57</v>
      </c>
      <c r="B16" s="7" t="s">
        <v>58</v>
      </c>
      <c r="C16" s="7" t="s">
        <v>59</v>
      </c>
      <c r="D16" s="7" t="s">
        <v>27</v>
      </c>
      <c r="E16" s="7" t="s">
        <v>38</v>
      </c>
      <c r="F16" s="7" t="s">
        <v>29</v>
      </c>
      <c r="G16" s="7" t="s">
        <v>60</v>
      </c>
      <c r="H16" s="7" t="s">
        <v>40</v>
      </c>
      <c r="I16" s="7" t="s">
        <v>41</v>
      </c>
      <c r="J16" s="13">
        <v>46120</v>
      </c>
      <c r="K16" s="7" t="s">
        <v>61</v>
      </c>
    </row>
    <row r="18" customFormat="false" ht="15" hidden="false" customHeight="false" outlineLevel="0" collapsed="false">
      <c r="A18" s="5" t="s">
        <v>62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8" t="s">
        <v>63</v>
      </c>
      <c r="C19" s="8" t="n">
        <f aca="false">COUNTA(A12:A16)</f>
      </c>
    </row>
    <row r="20" customFormat="false" ht="15" hidden="false" customHeight="false" outlineLevel="0" collapsed="false">
      <c r="A20" s="8" t="s">
        <v>31</v>
      </c>
      <c r="C20" s="8" t="n">
        <f aca="false">COUNTIF(I12:I16,"Open")</f>
      </c>
    </row>
    <row r="21" customFormat="false" ht="15" hidden="false" customHeight="false" outlineLevel="0" collapsed="false">
      <c r="A21" s="8" t="s">
        <v>41</v>
      </c>
      <c r="C21" s="8" t="n">
        <f aca="false">COUNTIF(I12:I16,"Treating")</f>
      </c>
    </row>
    <row r="22" customFormat="false" ht="15" hidden="false" customHeight="false" outlineLevel="0" collapsed="false">
      <c r="A22" s="8" t="s">
        <v>55</v>
      </c>
      <c r="C22" s="8" t="n">
        <f aca="false">COUNTIF(I12:I16,"Accepted")</f>
      </c>
    </row>
    <row r="23" customFormat="false" ht="15" hidden="false" customHeight="false" outlineLevel="0" collapsed="false">
      <c r="A23" s="8" t="s">
        <v>64</v>
      </c>
      <c r="C23" s="8" t="n">
        <f aca="false">COUNTIF(I12:I16,"Closed")</f>
      </c>
    </row>
    <row r="24" customFormat="false" ht="15" hidden="false" customHeight="false" outlineLevel="0" collapsed="false">
      <c r="A24" s="8" t="s">
        <v>65</v>
      </c>
      <c r="C24" s="8" t="n">
        <f aca="true">COUNTIF(J12:J16,"&lt;"&amp;DATE(2026,4,9))</f>
      </c>
    </row>
    <row r="26" customFormat="false" ht="15" hidden="false" customHeight="false" outlineLevel="0" collapsed="false">
      <c r="A26" s="5" t="s">
        <v>66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60" hidden="false" customHeight="true" outlineLevel="0" collapsed="false">
      <c r="A27" s="9" t="s">
        <v>67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60" hidden="false" customHeight="true" outlineLevel="0" collapsed="false">
      <c r="A28" s="9" t="s">
        <v>68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30" customFormat="false" ht="15" hidden="false" customHeight="false" outlineLevel="0" collapsed="false">
      <c r="A30" s="5" t="s">
        <v>69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45" hidden="false" customHeight="true" outlineLevel="0" collapsed="false">
      <c r="A31" s="9" t="s">
        <v>70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3" customFormat="false" ht="15" hidden="false" customHeight="false" outlineLevel="0" collapsed="false">
      <c r="A33" s="5" t="s">
        <v>71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false" outlineLevel="0" collapsed="false">
      <c r="A34" s="10" t="s">
        <v>72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10" t="s">
        <v>73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7" customFormat="false" ht="15" hidden="false" customHeight="false" outlineLevel="0" collapsed="false">
      <c r="A37" s="5" t="s">
        <v>74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15" hidden="false" customHeight="false" outlineLevel="0" collapsed="false">
      <c r="A38" s="11" t="s">
        <v>75</v>
      </c>
      <c r="B38" s="11" t="s">
        <v>76</v>
      </c>
      <c r="C38" s="11" t="s">
        <v>77</v>
      </c>
      <c r="D38" s="11" t="s">
        <v>78</v>
      </c>
    </row>
    <row r="39" customFormat="false" ht="25.5" hidden="false" customHeight="true" outlineLevel="0" collapsed="false">
      <c r="A39" s="12" t="s">
        <v>5</v>
      </c>
      <c r="B39" s="12" t="s">
        <v>79</v>
      </c>
      <c r="C39" s="12" t="s">
        <v>79</v>
      </c>
      <c r="D39" s="14">
        <v>46070</v>
      </c>
    </row>
    <row r="40" customFormat="false" ht="25.5" hidden="false" customHeight="true" outlineLevel="0" collapsed="false">
      <c r="A40" s="12" t="s">
        <v>40</v>
      </c>
      <c r="B40" s="12" t="s">
        <v>81</v>
      </c>
      <c r="C40" s="12" t="s">
        <v>81</v>
      </c>
      <c r="D40" s="14">
        <v>46070</v>
      </c>
    </row>
    <row r="42" customFormat="false" ht="15" hidden="false" customHeight="false" outlineLevel="0" collapsed="false">
      <c r="A42" s="5" t="s">
        <v>82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customFormat="false" ht="15" hidden="false" customHeight="false" outlineLevel="0" collapsed="false">
      <c r="A43" s="11" t="s">
        <v>83</v>
      </c>
      <c r="B43" s="11" t="s">
        <v>78</v>
      </c>
      <c r="C43" s="11" t="s">
        <v>84</v>
      </c>
      <c r="D43" s="11" t="s">
        <v>85</v>
      </c>
    </row>
    <row r="44" customFormat="false" ht="15" hidden="false" customHeight="false" outlineLevel="0" collapsed="false">
      <c r="A44" s="12" t="s">
        <v>86</v>
      </c>
      <c r="B44" s="14">
        <v>46070</v>
      </c>
      <c r="C44" s="12" t="s">
        <v>5</v>
      </c>
      <c r="D44" s="12" t="s">
        <v>87</v>
      </c>
    </row>
  </sheetData>
  <mergeCells count="24">
    <mergeCell ref="C1:K1"/>
    <mergeCell ref="A2:K2"/>
    <mergeCell ref="A4:B4"/>
    <mergeCell ref="C4:K4"/>
    <mergeCell ref="A5:B5"/>
    <mergeCell ref="C5:K5"/>
    <mergeCell ref="A6:B6"/>
    <mergeCell ref="C6:K6"/>
    <mergeCell ref="A7:B7"/>
    <mergeCell ref="C7:K7"/>
    <mergeCell ref="A8:B8"/>
    <mergeCell ref="C8:K8"/>
    <mergeCell ref="A10:K10"/>
    <mergeCell ref="A18:K18"/>
    <mergeCell ref="A26:K26"/>
    <mergeCell ref="A27:K27"/>
    <mergeCell ref="A28:K28"/>
    <mergeCell ref="A30:K30"/>
    <mergeCell ref="A31:K31"/>
    <mergeCell ref="A33:K33"/>
    <mergeCell ref="A34:K34"/>
    <mergeCell ref="A35:K35"/>
    <mergeCell ref="A37:K37"/>
    <mergeCell ref="A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orientation="landscape" fitToWidth="1" fitToHeight="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2026-06-04T20:28:45Z</dcterms:created>
  <dc:creator>911 Authority in partnership with IN911</dc:creator>
  <dc:description/>
  <dc:language>en-US</dc:language>
  <cp:lastModifiedBy/>
  <dcterms:modified xsi:type="dcterms:W3CDTF">2026-06-04T20:28:45Z</dcterms:modified>
  <cp:revision>0</cp:revision>
  <dc:subject/>
  <dc:title>Risk Register - EXAMPLE - 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
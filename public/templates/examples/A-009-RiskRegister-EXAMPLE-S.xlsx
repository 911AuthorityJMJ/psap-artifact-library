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<sst xmlns="http://schemas.openxmlformats.org/spreadsheetml/2006/main" count="116" uniqueCount="88">
  <si>
    <t xml:space="preserve">Hickory County 911   ·   Worked Example</t>
  </si>
  <si>
    <t xml:space="preserve">Risk Register</t>
  </si>
  <si>
    <t xml:space="preserve">Authority</t>
  </si>
  <si>
    <t xml:space="preserve">Adopted by Hickory County 911 under the authority of Tracy Holloway, Director.</t>
  </si>
  <si>
    <t xml:space="preserve">Owner</t>
  </si>
  <si>
    <t xml:space="preserve">Director</t>
  </si>
  <si>
    <t xml:space="preserve">Version / Dates</t>
  </si>
  <si>
    <t xml:space="preserve">Version 1.0      Effective Date 2026-02-17      Next Review 2027-02-17</t>
  </si>
  <si>
    <t xml:space="preserve">Classification</t>
  </si>
  <si>
    <t xml:space="preserve">Restricted</t>
  </si>
  <si>
    <t xml:space="preserve">Review cadence</t>
  </si>
  <si>
    <t xml:space="preserve">Reviewed semi-annually by the Director;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</si>
  <si>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</si>
  <si>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</si>
  <si>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</si>
  <si>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</si>
  <si>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</si>
  <si>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</si>
  <si>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</si>
  <si>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</si>
  <si>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</si>
  <si>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</si>
  <si>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</si>
  <si>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</si>
  <si>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</si>
  <si>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Single upstream carrier creates a 911 call-delivery single point of failure</t>
  </si>
  <si>
    <t xml:space="preserve">Continuity</t>
  </si>
  <si>
    <t xml:space="preserve">Possible</t>
  </si>
  <si>
    <t xml:space="preserve">Severe</t>
  </si>
  <si>
    <t xml:space="preserve">High</t>
  </si>
  <si>
    <t xml:space="preserve">Treat: pursue a diverse routing option with the ESInet provider</t>
  </si>
  <si>
    <t xml:space="preserve">Open</t>
  </si>
  <si>
    <t xml:space="preserve">2026-07-15</t>
  </si>
  <si>
    <t xml:space="preserve">POA&amp;M-001</t>
  </si>
  <si>
    <t xml:space="preserve">RISK-002</t>
  </si>
  <si>
    <t xml:space="preserve">Unpatched legacy workstation on the dispatch network</t>
  </si>
  <si>
    <t xml:space="preserve">Technical / vulnerability</t>
  </si>
  <si>
    <t xml:space="preserve">Likely</t>
  </si>
  <si>
    <t xml:space="preserve">Major</t>
  </si>
  <si>
    <t xml:space="preserve">Treat: isolate and replace on the next budget cycle</t>
  </si>
  <si>
    <t xml:space="preserve">County IT Administrator</t>
  </si>
  <si>
    <t xml:space="preserve">Treating</t>
  </si>
  <si>
    <t xml:space="preserve">2026-05-15</t>
  </si>
  <si>
    <t xml:space="preserve">POA&amp;M-002</t>
  </si>
  <si>
    <t xml:space="preserve">RISK-003</t>
  </si>
  <si>
    <t xml:space="preserve">County IT staffed by one person creates a coverage gap</t>
  </si>
  <si>
    <t xml:space="preserve">Operational</t>
  </si>
  <si>
    <t xml:space="preserve">Treat: document backup support with county IT and the CAD vendor</t>
  </si>
  <si>
    <t xml:space="preserve">POA&amp;M-003</t>
  </si>
  <si>
    <t xml:space="preserve">RISK-004</t>
  </si>
  <si>
    <t xml:space="preserve">Limited physical security at the co-located server closet</t>
  </si>
  <si>
    <t xml:space="preserve">Physical</t>
  </si>
  <si>
    <t xml:space="preserve">Unlikely</t>
  </si>
  <si>
    <t xml:space="preserve">Moderate</t>
  </si>
  <si>
    <t xml:space="preserve">Accept: compensating locks and an access log are in place</t>
  </si>
  <si>
    <t xml:space="preserve">Accepted</t>
  </si>
  <si>
    <t xml:space="preserve">Treatment Log RT-004</t>
  </si>
  <si>
    <t xml:space="preserve">RISK-005</t>
  </si>
  <si>
    <t xml:space="preserve">Vendor remote access without multi-factor authentication</t>
  </si>
  <si>
    <t xml:space="preserve">Third-party</t>
  </si>
  <si>
    <t xml:space="preserve">Treat: require MFA in the IT support agreement</t>
  </si>
  <si>
    <t xml:space="preserve">POA&amp;M-005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</si>
  <si>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</si>
  <si>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</si>
  <si>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</si>
  <si>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</si>
  <si>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</si>
  <si>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</si>
  <si>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</si>
  <si>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</si>
  <si>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</si>
  <si>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</si>
  <si>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</si>
  <si>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</si>
  <si>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</si>
  <si>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</si>
  <si>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</si>
  <si>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</si>
  <si>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</si>
  <si>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Tracy Holloway</t>
  </si>
  <si>
    <t xml:space="preserve">2026-02-17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</si>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</sst>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5056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51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40</v>
      </c>
      <c r="I13" s="7" t="s">
        <v>41</v>
      </c>
      <c r="J13" s="7" t="s">
        <v>42</v>
      </c>
      <c r="K13" s="7" t="s">
        <v>43</v>
      </c>
    </row>
    <row r="14" customFormat="false" ht="51" hidden="false" customHeight="true" outlineLevel="0" collapsed="false">
      <c r="A14" s="7" t="s">
        <v>44</v>
      </c>
      <c r="B14" s="7" t="s">
        <v>45</v>
      </c>
      <c r="C14" s="7" t="s">
        <v>46</v>
      </c>
      <c r="D14" s="7" t="s">
        <v>27</v>
      </c>
      <c r="E14" s="7" t="s">
        <v>38</v>
      </c>
      <c r="F14" s="7" t="s">
        <v>29</v>
      </c>
      <c r="G14" s="7" t="s">
        <v>47</v>
      </c>
      <c r="H14" s="7" t="s">
        <v>5</v>
      </c>
      <c r="I14" s="7" t="s">
        <v>31</v>
      </c>
      <c r="J14" s="7" t="s">
        <v>32</v>
      </c>
      <c r="K14" s="7" t="s">
        <v>48</v>
      </c>
    </row>
    <row r="15" customFormat="false" ht="51" hidden="false" customHeight="true" outlineLevel="0" collapsed="false">
      <c r="A15" s="7" t="s">
        <v>49</v>
      </c>
      <c r="B15" s="7" t="s">
        <v>50</v>
      </c>
      <c r="C15" s="7" t="s">
        <v>51</v>
      </c>
      <c r="D15" s="7" t="s">
        <v>52</v>
      </c>
      <c r="E15" s="7" t="s">
        <v>53</v>
      </c>
      <c r="F15" s="7" t="s">
        <v>53</v>
      </c>
      <c r="G15" s="7" t="s">
        <v>54</v>
      </c>
      <c r="H15" s="7" t="s">
        <v>5</v>
      </c>
      <c r="I15" s="7" t="s">
        <v>55</v>
      </c>
      <c r="J15" s="7" t="s">
        <v>32</v>
      </c>
      <c r="K15" s="7" t="s">
        <v>56</v>
      </c>
    </row>
    <row r="16" customFormat="false" ht="36" hidden="false" customHeight="true" outlineLevel="0" collapsed="false">
      <c r="A16" s="7" t="s">
        <v>57</v>
      </c>
      <c r="B16" s="7" t="s">
        <v>58</v>
      </c>
      <c r="C16" s="7" t="s">
        <v>59</v>
      </c>
      <c r="D16" s="7" t="s">
        <v>27</v>
      </c>
      <c r="E16" s="7" t="s">
        <v>38</v>
      </c>
      <c r="F16" s="7" t="s">
        <v>29</v>
      </c>
      <c r="G16" s="7" t="s">
        <v>60</v>
      </c>
      <c r="H16" s="7" t="s">
        <v>40</v>
      </c>
      <c r="I16" s="7" t="s">
        <v>41</v>
      </c>
      <c r="J16" s="7" t="s">
        <v>42</v>
      </c>
      <c r="K16" s="7" t="s">
        <v>61</v>
      </c>
    </row>
    <row r="18" customFormat="false" ht="15" hidden="false" customHeight="false" outlineLevel="0" collapsed="false">
      <c r="A18" s="5" t="s">
        <v>62</v>
      </c>
      <c r="B18" s="5"/>
      <c r="C18" s="5"/>
      <c r="D18" s="5"/>
      <c r="E18" s="5"/>
      <c r="F18" s="5"/>
      <c r="G18" s="5"/>
      <c r="H18" s="5"/>
      <c r="I18" s="5"/>
      <c r="J18" s="5"/>
      <c r="K18" s="5"/>
    </row>
    <row r="19" customFormat="false" ht="15" hidden="false" customHeight="false" outlineLevel="0" collapsed="false">
      <c r="A19" s="8" t="s">
        <v>63</v>
      </c>
      <c r="C19" s="8" t="n">
        <f aca="false">COUNTA(A12:A16)</f>
        <v>5</v>
      </c>
    </row>
    <row r="20" customFormat="false" ht="15" hidden="false" customHeight="false" outlineLevel="0" collapsed="false">
      <c r="A20" s="8" t="s">
        <v>31</v>
      </c>
      <c r="C20" s="8" t="n">
        <f aca="false">COUNTIF(I12:I16,"Open")</f>
        <v>2</v>
      </c>
    </row>
    <row r="21" customFormat="false" ht="15" hidden="false" customHeight="false" outlineLevel="0" collapsed="false">
      <c r="A21" s="8" t="s">
        <v>41</v>
      </c>
      <c r="C21" s="8" t="n">
        <f aca="false">COUNTIF(I12:I16,"Treating")</f>
        <v>2</v>
      </c>
    </row>
    <row r="22" customFormat="false" ht="15" hidden="false" customHeight="false" outlineLevel="0" collapsed="false">
      <c r="A22" s="8" t="s">
        <v>55</v>
      </c>
      <c r="C22" s="8" t="n">
        <f aca="false">COUNTIF(I12:I16,"Accepted")</f>
        <v>1</v>
      </c>
    </row>
    <row r="23" customFormat="false" ht="15" hidden="false" customHeight="false" outlineLevel="0" collapsed="false">
      <c r="A23" s="8" t="s">
        <v>64</v>
      </c>
      <c r="C23" s="8" t="n">
        <f aca="false">COUNTIF(I12:I16,"Closed")</f>
        <v>0</v>
      </c>
    </row>
    <row r="24" customFormat="false" ht="15" hidden="false" customHeight="false" outlineLevel="0" collapsed="false">
      <c r="A24" s="8" t="s">
        <v>65</v>
      </c>
      <c r="C24" s="8" t="n">
        <f aca="true">COUNTIF(J12:J16,"&lt;"&amp;TODAY())</f>
        <v>0</v>
      </c>
    </row>
    <row r="26" customFormat="false" ht="15" hidden="false" customHeight="false" outlineLevel="0" collapsed="false">
      <c r="A26" s="5" t="s">
        <v>66</v>
      </c>
      <c r="B26" s="5"/>
      <c r="C26" s="5"/>
      <c r="D26" s="5"/>
      <c r="E26" s="5"/>
      <c r="F26" s="5"/>
      <c r="G26" s="5"/>
      <c r="H26" s="5"/>
      <c r="I26" s="5"/>
      <c r="J26" s="5"/>
      <c r="K26" s="5"/>
    </row>
    <row r="27" customFormat="false" ht="60" hidden="false" customHeight="true" outlineLevel="0" collapsed="false">
      <c r="A27" s="9" t="s">
        <v>67</v>
      </c>
      <c r="B27" s="9"/>
      <c r="C27" s="9"/>
      <c r="D27" s="9"/>
      <c r="E27" s="9"/>
      <c r="F27" s="9"/>
      <c r="G27" s="9"/>
      <c r="H27" s="9"/>
      <c r="I27" s="9"/>
      <c r="J27" s="9"/>
      <c r="K27" s="9"/>
    </row>
    <row r="28" customFormat="false" ht="60" hidden="false" customHeight="true" outlineLevel="0" collapsed="false">
      <c r="A28" s="9" t="s">
        <v>68</v>
      </c>
      <c r="B28" s="9"/>
      <c r="C28" s="9"/>
      <c r="D28" s="9"/>
      <c r="E28" s="9"/>
      <c r="F28" s="9"/>
      <c r="G28" s="9"/>
      <c r="H28" s="9"/>
      <c r="I28" s="9"/>
      <c r="J28" s="9"/>
      <c r="K28" s="9"/>
    </row>
    <row r="30" customFormat="false" ht="15" hidden="false" customHeight="false" outlineLevel="0" collapsed="false">
      <c r="A30" s="5" t="s">
        <v>69</v>
      </c>
      <c r="B30" s="5"/>
      <c r="C30" s="5"/>
      <c r="D30" s="5"/>
      <c r="E30" s="5"/>
      <c r="F30" s="5"/>
      <c r="G30" s="5"/>
      <c r="H30" s="5"/>
      <c r="I30" s="5"/>
      <c r="J30" s="5"/>
      <c r="K30" s="5"/>
    </row>
    <row r="31" customFormat="false" ht="45" hidden="false" customHeight="true" outlineLevel="0" collapsed="false">
      <c r="A31" s="9" t="s">
        <v>70</v>
      </c>
      <c r="B31" s="9"/>
      <c r="C31" s="9"/>
      <c r="D31" s="9"/>
      <c r="E31" s="9"/>
      <c r="F31" s="9"/>
      <c r="G31" s="9"/>
      <c r="H31" s="9"/>
      <c r="I31" s="9"/>
      <c r="J31" s="9"/>
      <c r="K31" s="9"/>
    </row>
    <row r="33" customFormat="false" ht="15" hidden="false" customHeight="false" outlineLevel="0" collapsed="false">
      <c r="A33" s="5" t="s">
        <v>71</v>
      </c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15" hidden="false" customHeight="false" outlineLevel="0" collapsed="false">
      <c r="A34" s="10" t="s">
        <v>72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" hidden="false" customHeight="false" outlineLevel="0" collapsed="false">
      <c r="A35" s="10" t="s">
        <v>73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7" customFormat="false" ht="15" hidden="false" customHeight="false" outlineLevel="0" collapsed="false">
      <c r="A37" s="5" t="s">
        <v>74</v>
      </c>
      <c r="B37" s="5"/>
      <c r="C37" s="5"/>
      <c r="D37" s="5"/>
      <c r="E37" s="5"/>
      <c r="F37" s="5"/>
      <c r="G37" s="5"/>
      <c r="H37" s="5"/>
      <c r="I37" s="5"/>
      <c r="J37" s="5"/>
      <c r="K37" s="5"/>
    </row>
    <row r="38" customFormat="false" ht="15" hidden="false" customHeight="false" outlineLevel="0" collapsed="false">
      <c r="A38" s="11" t="s">
        <v>75</v>
      </c>
      <c r="B38" s="11" t="s">
        <v>76</v>
      </c>
      <c r="C38" s="11" t="s">
        <v>77</v>
      </c>
      <c r="D38" s="11" t="s">
        <v>78</v>
      </c>
    </row>
    <row r="39" customFormat="false" ht="25.5" hidden="false" customHeight="true" outlineLevel="0" collapsed="false">
      <c r="A39" s="12" t="s">
        <v>5</v>
      </c>
      <c r="B39" s="12" t="s">
        <v>79</v>
      </c>
      <c r="C39" s="12" t="s">
        <v>79</v>
      </c>
      <c r="D39" s="12" t="s">
        <v>80</v>
      </c>
    </row>
    <row r="40" customFormat="false" ht="25.5" hidden="false" customHeight="true" outlineLevel="0" collapsed="false">
      <c r="A40" s="12" t="s">
        <v>40</v>
      </c>
      <c r="B40" s="12" t="s">
        <v>81</v>
      </c>
      <c r="C40" s="12" t="s">
        <v>81</v>
      </c>
      <c r="D40" s="12" t="s">
        <v>80</v>
      </c>
    </row>
    <row r="42" customFormat="false" ht="15" hidden="false" customHeight="false" outlineLevel="0" collapsed="false">
      <c r="A42" s="5" t="s">
        <v>82</v>
      </c>
      <c r="B42" s="5"/>
      <c r="C42" s="5"/>
      <c r="D42" s="5"/>
      <c r="E42" s="5"/>
      <c r="F42" s="5"/>
      <c r="G42" s="5"/>
      <c r="H42" s="5"/>
      <c r="I42" s="5"/>
      <c r="J42" s="5"/>
      <c r="K42" s="5"/>
    </row>
    <row r="43" customFormat="false" ht="15" hidden="false" customHeight="false" outlineLevel="0" collapsed="false">
      <c r="A43" s="11" t="s">
        <v>83</v>
      </c>
      <c r="B43" s="11" t="s">
        <v>78</v>
      </c>
      <c r="C43" s="11" t="s">
        <v>84</v>
      </c>
      <c r="D43" s="11" t="s">
        <v>85</v>
      </c>
    </row>
    <row r="44" customFormat="false" ht="15" hidden="false" customHeight="false" outlineLevel="0" collapsed="false">
      <c r="A44" s="12" t="s">
        <v>86</v>
      </c>
      <c r="B44" s="12" t="s">
        <v>80</v>
      </c>
      <c r="C44" s="12" t="s">
        <v>5</v>
      </c>
      <c r="D44" s="12" t="s">
        <v>87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18:K18"/>
    <mergeCell ref="A26:K26"/>
    <mergeCell ref="A27:K27"/>
    <mergeCell ref="A28:K28"/>
    <mergeCell ref="A30:K30"/>
    <mergeCell ref="A31:K31"/>
    <mergeCell ref="A33:K33"/>
    <mergeCell ref="A34:K34"/>
    <mergeCell ref="A35:K35"/>
    <mergeCell ref="A37:K37"/>
    <mergeCell ref="A42:K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
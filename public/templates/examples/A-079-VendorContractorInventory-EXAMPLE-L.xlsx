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001B3A5C"/>
      <sz val="12"/>
    </font>
    <font>
      <name val="Aptos"/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001B3A5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3" customWidth="1" min="1" max="1"/>
    <col width="26" customWidth="1" min="2" max="2"/>
    <col width="40" customWidth="1" min="3" max="3"/>
    <col width="20" customWidth="1" min="4" max="4"/>
    <col width="16" customWidth="1" min="5" max="5"/>
    <col width="14" customWidth="1" min="6" max="7"/>
  </cols>
  <sheetData>
    <row r="1" ht="25.5" customHeight="1">
      <c r="A1" s="21" t="inlineStr">
        <is>
          <t>Tri-River Regional 911 Center   ·   Worked Example   ·   SAMPLE</t>
        </is>
      </c>
    </row>
    <row r="2" ht="26" customHeight="1">
      <c r="A2" s="22" t="inlineStr">
        <is>
          <t>Vendor &amp; Contractor Inventory</t>
        </is>
      </c>
    </row>
    <row r="3" ht="15" customHeight="1">
      <c r="A3" s="8" t="inlineStr">
        <is>
          <t>Authority</t>
        </is>
      </c>
      <c r="B3" s="18" t="n"/>
      <c r="C3" s="7" t="inlineStr">
        <is>
          <t>Adopted by Tri-River Regional 911 Center under the authority of the Executive Director.</t>
        </is>
      </c>
      <c r="D3" s="19" t="n"/>
      <c r="E3" s="19" t="n"/>
      <c r="F3" s="19" t="n"/>
      <c r="G3" s="18" t="n"/>
    </row>
    <row r="4" ht="15" customHeight="1">
      <c r="A4" s="8" t="inlineStr">
        <is>
          <t>Owner</t>
        </is>
      </c>
      <c r="B4" s="18" t="n"/>
      <c r="C4" s="7" t="inlineStr">
        <is>
          <t>Information Security Analyst</t>
        </is>
      </c>
      <c r="D4" s="19" t="n"/>
      <c r="E4" s="19" t="n"/>
      <c r="F4" s="19" t="n"/>
      <c r="G4" s="18" t="n"/>
    </row>
    <row r="5" ht="15" customHeight="1">
      <c r="A5" s="8" t="inlineStr">
        <is>
          <t>Version / Dates</t>
        </is>
      </c>
      <c r="B5" s="18" t="n"/>
      <c r="C5" s="7" t="inlineStr">
        <is>
          <t>Version 2.1      Effective Date 2026-01-10      Next Review 2026-04-10</t>
        </is>
      </c>
      <c r="D5" s="19" t="n"/>
      <c r="E5" s="19" t="n"/>
      <c r="F5" s="19" t="n"/>
      <c r="G5" s="18" t="n"/>
    </row>
    <row r="6" ht="43.5" customHeight="1">
      <c r="A6" s="8" t="inlineStr">
        <is>
          <t>Classification</t>
        </is>
      </c>
      <c r="B6" s="18" t="n"/>
      <c r="C6" s="6" t="inlineStr">
        <is>
          <t>Restricted</t>
        </is>
      </c>
      <c r="D6" s="19" t="n"/>
      <c r="E6" s="19" t="n"/>
      <c r="F6" s="19" t="n"/>
      <c r="G6" s="18" t="n"/>
    </row>
    <row r="7" ht="15" customHeight="1">
      <c r="A7" s="8" t="inlineStr">
        <is>
          <t>Review cadence</t>
        </is>
      </c>
      <c r="B7" s="18" t="n"/>
      <c r="C7" s="7" t="inlineStr">
        <is>
          <t>Reviewed quarterly by the Information Security Analyst; reconciled against active services each cycle.</t>
        </is>
      </c>
      <c r="D7" s="19" t="n"/>
      <c r="E7" s="19" t="n"/>
      <c r="F7" s="19" t="n"/>
      <c r="G7" s="18" t="n"/>
    </row>
    <row r="9" ht="15" customHeight="1">
      <c r="A9" s="5" t="inlineStr">
        <is>
          <t>Register Entries</t>
        </is>
      </c>
    </row>
    <row r="10" ht="32" customHeight="1">
      <c r="A10" s="9" t="n"/>
    </row>
    <row r="11" ht="50" customHeight="1">
      <c r="A11" s="11" t="inlineStr">
        <is>
          <t>Vendor ID</t>
        </is>
      </c>
      <c r="B11" s="11" t="inlineStr">
        <is>
          <t>Vendor / Service</t>
        </is>
      </c>
      <c r="C11" s="11" t="inlineStr">
        <is>
          <t>Service type &amp; access scope (systems/data reached; contract or SLA ref)</t>
        </is>
      </c>
      <c r="D11" s="11" t="inlineStr">
        <is>
          <t>Vendor contact (role)</t>
        </is>
      </c>
      <c r="E11" s="11" t="inlineStr">
        <is>
          <t>Status</t>
        </is>
      </c>
      <c r="F11" s="11" t="inlineStr">
        <is>
          <t>Last reconciled</t>
        </is>
      </c>
      <c r="G11" s="11" t="inlineStr">
        <is>
          <t>Next review due</t>
        </is>
      </c>
    </row>
    <row r="12" ht="34.7" customHeight="1">
      <c r="A12" s="12" t="inlineStr">
        <is>
          <t>VEN-001</t>
        </is>
      </c>
      <c r="B12" s="12" t="inlineStr">
        <is>
          <t>Primary CAD vendor (hosted)</t>
        </is>
      </c>
      <c r="C12" s="12" t="inlineStr">
        <is>
          <t>Hosted CAD; full incident lifecycle; privileged support</t>
        </is>
      </c>
      <c r="D12" s="12" t="inlineStr">
        <is>
          <t>Vendor Security Contact</t>
        </is>
      </c>
      <c r="E12" s="12" t="inlineStr">
        <is>
          <t>Active</t>
        </is>
      </c>
      <c r="F12" s="23">
        <v>46082</v>
      </c>
      <c r="G12" s="23">
        <v>46174</v>
      </c>
    </row>
    <row r="13" ht="34.7" customHeight="1">
      <c r="A13" s="12" t="inlineStr">
        <is>
          <t>VEN-005</t>
        </is>
      </c>
      <c r="B13" s="12" t="inlineStr">
        <is>
          <t>RMS integration vendor</t>
        </is>
      </c>
      <c r="C13" s="12" t="inlineStr">
        <is>
          <t>Records management; reads/writes case data</t>
        </is>
      </c>
      <c r="D13" s="12" t="inlineStr">
        <is>
          <t>Vendor Support (role)</t>
        </is>
      </c>
      <c r="E13" s="12" t="inlineStr">
        <is>
          <t>Active</t>
        </is>
      </c>
      <c r="F13" s="23">
        <v>46082</v>
      </c>
      <c r="G13" s="23">
        <v>46174</v>
      </c>
    </row>
    <row r="14" ht="34.7" customHeight="1">
      <c r="A14" s="12" t="inlineStr">
        <is>
          <t>VEN-006</t>
        </is>
      </c>
      <c r="B14" s="12" t="inlineStr">
        <is>
          <t>GIS / mapping platform</t>
        </is>
      </c>
      <c r="C14" s="12" t="inlineStr">
        <is>
          <t>NG911 GIS; spatial data services</t>
        </is>
      </c>
      <c r="D14" s="12" t="inlineStr">
        <is>
          <t>Vendor Support (role)</t>
        </is>
      </c>
      <c r="E14" s="12" t="inlineStr">
        <is>
          <t>Active</t>
        </is>
      </c>
      <c r="F14" s="23">
        <v>46082</v>
      </c>
      <c r="G14" s="23">
        <v>46174</v>
      </c>
    </row>
    <row r="15" ht="34.7" customHeight="1">
      <c r="A15" s="12" t="inlineStr">
        <is>
          <t>VEN-007</t>
        </is>
      </c>
      <c r="B15" s="12" t="inlineStr">
        <is>
          <t>Video/911 integration</t>
        </is>
      </c>
      <c r="C15" s="12" t="inlineStr">
        <is>
          <t>Caller video ingest; media handling</t>
        </is>
      </c>
      <c r="D15" s="12" t="inlineStr">
        <is>
          <t>Vendor Security Contact</t>
        </is>
      </c>
      <c r="E15" s="12" t="inlineStr">
        <is>
          <t>Active</t>
        </is>
      </c>
      <c r="F15" s="23">
        <v>46082</v>
      </c>
      <c r="G15" s="23">
        <v>46174</v>
      </c>
    </row>
    <row r="16" ht="34.7" customHeight="1">
      <c r="A16" s="12" t="inlineStr">
        <is>
          <t>VEN-010</t>
        </is>
      </c>
      <c r="B16" s="12" t="inlineStr">
        <is>
          <t>SIEM / monitoring (managed)</t>
        </is>
      </c>
      <c r="C16" s="12" t="inlineStr">
        <is>
          <t>Log collection; privileged read</t>
        </is>
      </c>
      <c r="D16" s="12" t="inlineStr">
        <is>
          <t>Vendor Security Contact</t>
        </is>
      </c>
      <c r="E16" s="12" t="inlineStr">
        <is>
          <t>Active</t>
        </is>
      </c>
      <c r="F16" s="23">
        <v>46082</v>
      </c>
      <c r="G16" s="23">
        <v>46174</v>
      </c>
    </row>
    <row r="17" ht="34.7" customHeight="1">
      <c r="A17" s="12" t="inlineStr">
        <is>
          <t>VEN-014</t>
        </is>
      </c>
      <c r="B17" s="12" t="inlineStr">
        <is>
          <t>Legacy ALI vendor</t>
        </is>
      </c>
      <c r="C17" s="12" t="inlineStr">
        <is>
          <t>Being retired; read-only</t>
        </is>
      </c>
      <c r="D17" s="12" t="inlineStr">
        <is>
          <t>Vendor Support (role)</t>
        </is>
      </c>
      <c r="E17" s="12" t="inlineStr">
        <is>
          <t>Retired</t>
        </is>
      </c>
      <c r="F17" s="23">
        <v>46082</v>
      </c>
      <c r="G17" s="23">
        <v>46110</v>
      </c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</row>
    <row r="23" ht="15" customHeight="1">
      <c r="A23" s="5" t="inlineStr">
        <is>
          <t>Summary (as of 2026-03-30)</t>
        </is>
      </c>
    </row>
    <row r="24" ht="15" customHeight="1">
      <c r="A24" s="4" t="inlineStr">
        <is>
          <t>Total entries</t>
        </is>
      </c>
      <c r="B24" s="20" t="n"/>
      <c r="C24" s="13">
        <f>COUNTA(A12:A21)</f>
      </c>
    </row>
    <row r="25" ht="15" customHeight="1">
      <c r="A25" s="4" t="inlineStr">
        <is>
          <t>Active</t>
        </is>
      </c>
      <c r="B25" s="20" t="n"/>
      <c r="C25" s="13">
        <f>COUNTIF(E12:E21,"Active")</f>
      </c>
    </row>
    <row r="26" ht="15" customHeight="1">
      <c r="A26" s="4" t="inlineStr">
        <is>
          <t>Under review</t>
        </is>
      </c>
      <c r="B26" s="20" t="n"/>
      <c r="C26" s="13">
        <f>COUNTIF(E12:E21,"Under Review")</f>
      </c>
    </row>
    <row r="27" ht="15" customHeight="1">
      <c r="A27" s="4" t="inlineStr">
        <is>
          <t>Retired</t>
        </is>
      </c>
      <c r="B27" s="20" t="n"/>
      <c r="C27" s="13">
        <f>COUNTIF(E12:E21,"Retired")</f>
      </c>
    </row>
    <row r="28" ht="15" customHeight="1">
      <c r="A28" s="4" t="inlineStr">
        <is>
          <t>Decommissioned</t>
        </is>
      </c>
      <c r="B28" s="20" t="n"/>
      <c r="C28" s="13">
        <f>COUNTIF(E12:E21,"Decommissioned")</f>
      </c>
    </row>
    <row r="29" ht="15" customHeight="1">
      <c r="A29" s="4" t="inlineStr">
        <is>
          <t>Past due for review</t>
        </is>
      </c>
      <c r="B29" s="20" t="n"/>
      <c r="C29" s="13">
        <f>COUNTIF(G12:G21,"&lt;"&amp;DATE(2026,3,30))</f>
      </c>
    </row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§5.6, §10</t>
        </is>
      </c>
    </row>
    <row r="34" ht="15" customHeight="1">
      <c r="A34" s="3" t="inlineStr">
        <is>
          <t>NIST SP 800-53 Rev. 5: CA-3, SA-9, SR-6</t>
        </is>
      </c>
    </row>
    <row r="35" ht="15" customHeight="1">
      <c r="A35" s="3" t="inlineStr">
        <is>
          <t>Indiana statutes and administrative code: IC 36-8-16.7 (third-party connectivity using 911 funds)</t>
        </is>
      </c>
    </row>
    <row r="36" ht="15" customHeight="1">
      <c r="A36" s="3" t="inlineStr">
        <is>
          <t>CJIS Security Policy v5.9: §5.1 (CJIS Security Addendum: for vendors managing CJIS-regulated systems)</t>
        </is>
      </c>
    </row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66.4" customHeight="1">
      <c r="A40" s="12" t="inlineStr">
        <is>
          <t>Approving official (Executive Director)</t>
        </is>
      </c>
      <c r="B40" s="15" t="inlineStr">
        <is>
          <t>Dr. Lisa Park</t>
        </is>
      </c>
      <c r="C40" s="15" t="inlineStr">
        <is>
          <t>(on file)</t>
        </is>
      </c>
      <c r="D40" s="24">
        <v>46082</v>
      </c>
    </row>
    <row r="41" ht="66.4" customHeight="1">
      <c r="A41" s="12" t="inlineStr">
        <is>
          <t>Owner (Information Security Analyst)</t>
        </is>
      </c>
      <c r="B41" s="15" t="inlineStr">
        <is>
          <t>Priya Raman</t>
        </is>
      </c>
      <c r="C41" s="15" t="inlineStr">
        <is>
          <t>(on file)</t>
        </is>
      </c>
      <c r="D41" s="24">
        <v>46082</v>
      </c>
    </row>
    <row r="43" ht="15" customHeight="1">
      <c r="A43" s="5" t="inlineStr">
        <is>
          <t>Revision History</t>
        </is>
      </c>
    </row>
    <row r="44" ht="30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50.5" customHeight="1">
      <c r="A45" s="12" t="inlineStr">
        <is>
          <t>2.1</t>
        </is>
      </c>
      <c r="B45" s="23">
        <v>46032</v>
      </c>
      <c r="C45" s="12" t="inlineStr">
        <is>
          <t>Information Security Analyst</t>
        </is>
      </c>
      <c r="D45" s="12" t="inlineStr">
        <is>
          <t>Quarterly reconciliation; legacy ALI vendor retired</t>
        </is>
      </c>
      <c r="E45" s="12" t="n"/>
      <c r="F45" s="12" t="n"/>
      <c r="G45" s="12" t="n"/>
    </row>
    <row r="47">
      <c r="A47"/>
    </row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2026-06-18T18:23:40Z</dcterms:modified>
  <cp:lastModifiedBy/>
  <cp:revision>0</cp:revision>
  <dc:title xmlns:dc="http://purl.org/dc/elements/1.1/">Vendor &amp; Contractor Inventory - EXAMPLE - L</dc:title>
</cp:coreProperties>
</file>
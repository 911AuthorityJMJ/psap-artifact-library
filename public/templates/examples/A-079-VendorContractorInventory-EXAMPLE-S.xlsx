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21" t="inlineStr">
        <is>
          <t>Hickory County 911   ·   Worked Example   ·   SAMPLE</t>
        </is>
      </c>
    </row>
    <row r="2" ht="26" customHeight="1">
      <c r="A2" s="22" t="inlineStr">
        <is>
          <t>Vendor &amp; Contractor Inventory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Hickory County 911 under the authority of the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Director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1.0      Effective Date 2026-02-15      Next Review 2027-02-15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Restricted</t>
        </is>
      </c>
      <c r="D6" s="19" t="n"/>
      <c r="E6" s="19" t="n"/>
      <c r="F6" s="19" t="n"/>
      <c r="G6" s="18" t="n"/>
    </row>
    <row r="7" ht="15" customHeight="1">
      <c r="A7" s="8" t="inlineStr">
        <is>
          <t>Review cadence</t>
        </is>
      </c>
      <c r="B7" s="18" t="n"/>
      <c r="C7" s="7" t="inlineStr">
        <is>
          <t>Reviewed quarterly by the Director; reconciled against active services each cycle.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n"/>
    </row>
    <row r="11" ht="50" customHeight="1">
      <c r="A11" s="11" t="inlineStr">
        <is>
          <t>Vendor ID</t>
        </is>
      </c>
      <c r="B11" s="11" t="inlineStr">
        <is>
          <t>Vendor / Service</t>
        </is>
      </c>
      <c r="C11" s="11" t="inlineStr">
        <is>
          <t>Service type &amp; access scope (systems/data reached; contract or SLA ref)</t>
        </is>
      </c>
      <c r="D11" s="11" t="inlineStr">
        <is>
          <t>Vendor contact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inlineStr">
        <is>
          <t>VEN-001</t>
        </is>
      </c>
      <c r="B12" s="12" t="inlineStr">
        <is>
          <t>CAD vendor (hosted)</t>
        </is>
      </c>
      <c r="C12" s="12" t="inlineStr">
        <is>
          <t>Hosted CAD; reads/writes incident data; remote support access</t>
        </is>
      </c>
      <c r="D12" s="12" t="inlineStr">
        <is>
          <t>Vendor Account Manager</t>
        </is>
      </c>
      <c r="E12" s="12" t="inlineStr">
        <is>
          <t>Active</t>
        </is>
      </c>
      <c r="F12" s="12" t="inlineStr">
        <is>
          <t>2026-03-01</t>
        </is>
      </c>
      <c r="G12" s="12" t="inlineStr">
        <is>
          <t>2026-06-01</t>
        </is>
      </c>
    </row>
    <row r="13" ht="19.5" customHeight="1">
      <c r="A13" s="12" t="inlineStr">
        <is>
          <t>VEN-002</t>
        </is>
      </c>
      <c r="B13" s="12" t="inlineStr">
        <is>
          <t>ESInet / NG9-1-1 provider</t>
        </is>
      </c>
      <c r="C13" s="12" t="inlineStr">
        <is>
          <t>Call routing and ALI; SLA-2025-04</t>
        </is>
      </c>
      <c r="D13" s="12" t="inlineStr">
        <is>
          <t>Provider NOC (role)</t>
        </is>
      </c>
      <c r="E13" s="12" t="inlineStr">
        <is>
          <t>Active</t>
        </is>
      </c>
      <c r="F13" s="12" t="inlineStr">
        <is>
          <t>2026-03-01</t>
        </is>
      </c>
      <c r="G13" s="12" t="inlineStr">
        <is>
          <t>2026-06-01</t>
        </is>
      </c>
    </row>
    <row r="14" ht="19.5" customHeight="1">
      <c r="A14" s="12" t="inlineStr">
        <is>
          <t>VEN-003</t>
        </is>
      </c>
      <c r="B14" s="12" t="inlineStr">
        <is>
          <t>Upstream carrier (single)</t>
        </is>
      </c>
      <c r="C14" s="12" t="inlineStr">
        <is>
          <t>Voice trunking to ESInet</t>
        </is>
      </c>
      <c r="D14" s="12" t="inlineStr">
        <is>
          <t>Carrier Support (role)</t>
        </is>
      </c>
      <c r="E14" s="12" t="inlineStr">
        <is>
          <t>Active</t>
        </is>
      </c>
      <c r="F14" s="12" t="inlineStr">
        <is>
          <t>2026-03-01</t>
        </is>
      </c>
      <c r="G14" s="12" t="inlineStr">
        <is>
          <t>2026-06-01</t>
        </is>
      </c>
    </row>
    <row r="15" ht="19.5" customHeight="1">
      <c r="A15" s="12" t="n"/>
      <c r="B15" s="12" t="n"/>
      <c r="C15" s="12" t="n"/>
      <c r="D15" s="12" t="n"/>
      <c r="E15" s="12" t="n"/>
      <c r="F15" s="12" t="n"/>
      <c r="G15" s="12" t="n"/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Under review</t>
        </is>
      </c>
      <c r="B26" s="20" t="n"/>
      <c r="C26" s="13">
        <f>COUNTIF(E12:E21,"Under Review")</f>
        <v/>
      </c>
    </row>
    <row r="27" ht="15" customHeight="1">
      <c r="A27" s="4" t="inlineStr">
        <is>
          <t>Retired</t>
        </is>
      </c>
      <c r="B27" s="20" t="n"/>
      <c r="C27" s="13">
        <f>COUNTIF(E12:E21,"Retired")</f>
        <v/>
      </c>
    </row>
    <row r="28" ht="15" customHeight="1">
      <c r="A28" s="4" t="inlineStr">
        <is>
          <t>Decommissioned</t>
        </is>
      </c>
      <c r="B28" s="20" t="n"/>
      <c r="C28" s="13">
        <f>COUNTIF(E12:E21,"Decommissioned")</f>
        <v/>
      </c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§5.6, §10</t>
        </is>
      </c>
    </row>
    <row r="34" ht="15" customHeight="1">
      <c r="A34" s="3" t="inlineStr">
        <is>
          <t>NIST SP 800-53 Rev. 5: CA-3, SA-9, SR-6</t>
        </is>
      </c>
    </row>
    <row r="35" ht="15" customHeight="1">
      <c r="A35" s="3" t="inlineStr">
        <is>
          <t>Indiana statutes and administrative code: IC 36-8-16.7 (third-party connectivity using 911 funds)</t>
        </is>
      </c>
    </row>
    <row r="36" ht="15" customHeight="1">
      <c r="A36" s="3" t="inlineStr">
        <is>
          <t>CJIS Security Policy v5.9: §5.1 (CJIS Security Addendum: for vendors managing CJIS-regulated systems)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Approving official (Director)</t>
        </is>
      </c>
      <c r="B40" s="15" t="inlineStr">
        <is>
          <t>Tracy Holloway</t>
        </is>
      </c>
      <c r="C40" s="15" t="inlineStr">
        <is>
          <t>(on file)</t>
        </is>
      </c>
      <c r="D40" s="15" t="inlineStr">
        <is>
          <t>2026-03-01</t>
        </is>
      </c>
    </row>
    <row r="41" ht="46" customHeight="1">
      <c r="A41" s="12" t="inlineStr">
        <is>
          <t>Owner (Director)</t>
        </is>
      </c>
      <c r="B41" s="15" t="inlineStr">
        <is>
          <t>Tracy Holloway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1.0</t>
        </is>
      </c>
      <c r="B45" s="12" t="inlineStr">
        <is>
          <t>2026-02-15</t>
        </is>
      </c>
      <c r="C45" s="12" t="inlineStr">
        <is>
          <t>Director</t>
        </is>
      </c>
      <c r="D45" s="12" t="inlineStr">
        <is>
          <t>Initial issue</t>
        </is>
      </c>
      <c r="E45" s="12" t="n"/>
      <c r="F45" s="12" t="n"/>
      <c r="G45" s="12" t="n"/>
    </row>
    <row r="47" ht="58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2026-06-18T18:23:40Z</dcterms:modified>
  <cp:lastModifiedBy>Jason Jeffares</cp:lastModifiedBy>
  <cp:revision>0</cp:revision>
</cp:coreProperties>
</file>
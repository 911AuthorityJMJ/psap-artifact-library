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  <fill>
      <patternFill patternType="solid">
        <fgColor rgb="001B3A5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6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top" wrapText="1"/>
    </xf>
    <xf numFmtId="0" fontId="0" fillId="0" borderId="2" pivotButton="0" quotePrefix="0" xfId="0"/>
    <xf numFmtId="164" fontId="10" fillId="0" borderId="7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6" customWidth="1" min="2" max="2"/>
    <col width="22" customWidth="1" min="3" max="3"/>
    <col width="22" customWidth="1" min="4" max="4"/>
    <col width="14" customWidth="1" min="5" max="5"/>
    <col width="13" customWidth="1" min="6" max="7"/>
    <col width="18" customWidth="1" min="7" max="7"/>
    <col width="14" customWidth="1" min="8" max="8"/>
  </cols>
  <sheetData>
    <row r="1" ht="25.5" customHeight="1">
      <c r="A1" s="10" t="inlineStr">
        <is>
          <t>Incident Notification &amp; Escalation Contact List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Hickory County 911 under the authority of Director Tracy Holloway.</t>
        </is>
      </c>
      <c r="D3" s="23" t="n"/>
      <c r="E3" s="23" t="n"/>
      <c r="F3" s="23" t="n"/>
      <c r="G3" s="23" t="n"/>
      <c r="H3" s="22" t="n"/>
    </row>
    <row r="4" ht="15" customHeight="1">
      <c r="A4" s="8" t="inlineStr">
        <is>
          <t>Owner</t>
        </is>
      </c>
      <c r="B4" s="22" t="n"/>
      <c r="C4" s="7" t="inlineStr">
        <is>
          <t>911 Director</t>
        </is>
      </c>
      <c r="D4" s="23" t="n"/>
      <c r="E4" s="23" t="n"/>
      <c r="F4" s="23" t="n"/>
      <c r="G4" s="23" t="n"/>
      <c r="H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2026-02-16      Next Review 2027-02-16</t>
        </is>
      </c>
      <c r="D5" s="23" t="n"/>
      <c r="E5" s="23" t="n"/>
      <c r="F5" s="23" t="n"/>
      <c r="G5" s="23" t="n"/>
      <c r="H5" s="22" t="n"/>
    </row>
    <row r="6" ht="43.5" customHeight="1">
      <c r="A6" s="8" t="inlineStr">
        <is>
          <t>Classification</t>
        </is>
      </c>
      <c r="B6" s="22" t="n"/>
      <c r="C6" s="6" t="inlineStr">
        <is>
          <t>Confidential / CJIS</t>
        </is>
      </c>
      <c r="D6" s="23" t="n"/>
      <c r="E6" s="23" t="n"/>
      <c r="F6" s="23" t="n"/>
      <c r="G6" s="23" t="n"/>
      <c r="H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annually by the 911 Director; each contact and the escalation order are re-confirmed whenever staff, vendors, or reporting contacts change.</t>
        </is>
      </c>
      <c r="D7" s="23" t="n"/>
      <c r="E7" s="23" t="n"/>
      <c r="F7" s="23" t="n"/>
      <c r="G7" s="23" t="n"/>
      <c r="H7" s="22" t="n"/>
    </row>
    <row r="9" ht="15" customHeight="1">
      <c r="A9" s="5" t="inlineStr">
        <is>
          <t>Register Entries</t>
        </is>
      </c>
    </row>
    <row r="10" ht="27.75" customHeight="1">
      <c r="A10" s="9" t="n"/>
    </row>
    <row r="11" ht="30" customHeight="1">
      <c r="A11" s="24" t="inlineStr">
        <is>
          <t>ID</t>
        </is>
      </c>
      <c r="B11" s="24" t="inlineStr">
        <is>
          <t>Contact (Party &amp; Role)</t>
        </is>
      </c>
      <c r="C11" s="24" t="inlineStr">
        <is>
          <t>Primary Contact</t>
        </is>
      </c>
      <c r="D11" s="24" t="inlineStr">
        <is>
          <t>Alternate Contact</t>
        </is>
      </c>
      <c r="E11" s="24" t="inlineStr">
        <is>
          <t>Triggers at Tier</t>
        </is>
      </c>
      <c r="F11" s="24" t="inlineStr">
        <is>
          <t>Escalation Order</t>
        </is>
      </c>
      <c r="G11" s="24" t="inlineStr">
        <is>
          <t>Availability</t>
        </is>
      </c>
      <c r="H11" s="24" t="inlineStr">
        <is>
          <t>Last Verified</t>
        </is>
      </c>
    </row>
    <row r="12" ht="19.5" customHeight="1">
      <c r="A12" s="25" t="inlineStr">
        <is>
          <t>CN-001</t>
        </is>
      </c>
      <c r="B12" s="25" t="inlineStr">
        <is>
          <t>Director, Tracy Holloway</t>
        </is>
      </c>
      <c r="C12" s="25" t="inlineStr">
        <is>
          <t>Office + cell (on file)</t>
        </is>
      </c>
      <c r="D12" s="25" t="inlineStr">
        <is>
          <t>Home (on file)</t>
        </is>
      </c>
      <c r="E12" s="25" t="inlineStr">
        <is>
          <t>All tiers</t>
        </is>
      </c>
      <c r="F12" s="25" t="inlineStr">
        <is>
          <t>1</t>
        </is>
      </c>
      <c r="G12" s="25" t="inlineStr">
        <is>
          <t>24x7</t>
        </is>
      </c>
      <c r="H12" s="27" t="n">
        <v>46063</v>
      </c>
    </row>
    <row r="13" ht="19.5" customHeight="1">
      <c r="A13" s="25" t="inlineStr">
        <is>
          <t>CN-002</t>
        </is>
      </c>
      <c r="B13" s="25" t="inlineStr">
        <is>
          <t>County IT, Marcus Reed</t>
        </is>
      </c>
      <c r="C13" s="25" t="inlineStr">
        <is>
          <t>Cell (on file)</t>
        </is>
      </c>
      <c r="D13" s="25" t="inlineStr">
        <is>
          <t>Courthouse IT desk</t>
        </is>
      </c>
      <c r="E13" s="25" t="inlineStr">
        <is>
          <t>Sev 1-3</t>
        </is>
      </c>
      <c r="F13" s="25" t="inlineStr">
        <is>
          <t>2</t>
        </is>
      </c>
      <c r="G13" s="25" t="inlineStr">
        <is>
          <t>Business hrs + on-call</t>
        </is>
      </c>
      <c r="H13" s="27" t="n">
        <v>46063</v>
      </c>
    </row>
    <row r="14" ht="19.5" customHeight="1">
      <c r="A14" s="25" t="inlineStr">
        <is>
          <t>CN-003</t>
        </is>
      </c>
      <c r="B14" s="25" t="inlineStr">
        <is>
          <t>CAD vendor support</t>
        </is>
      </c>
      <c r="C14" s="25" t="inlineStr">
        <is>
          <t>24x7 support line (per contract)</t>
        </is>
      </c>
      <c r="D14" s="25" t="inlineStr">
        <is>
          <t>Account rep (on file)</t>
        </is>
      </c>
      <c r="E14" s="25" t="inlineStr">
        <is>
          <t>Sev 1-2</t>
        </is>
      </c>
      <c r="F14" s="25" t="inlineStr">
        <is>
          <t>3</t>
        </is>
      </c>
      <c r="G14" s="25" t="inlineStr">
        <is>
          <t>24x7 per contract</t>
        </is>
      </c>
      <c r="H14" s="27" t="n">
        <v>46042</v>
      </c>
    </row>
    <row r="15" ht="19.5" customHeight="1">
      <c r="A15" s="25" t="inlineStr">
        <is>
          <t>CN-004</t>
        </is>
      </c>
      <c r="B15" s="25" t="inlineStr">
        <is>
          <t>ESInet provider NOC</t>
        </is>
      </c>
      <c r="C15" s="25" t="inlineStr">
        <is>
          <t>24x7 NOC line</t>
        </is>
      </c>
      <c r="D15" s="25" t="inlineStr">
        <is>
          <t>-</t>
        </is>
      </c>
      <c r="E15" s="25" t="inlineStr">
        <is>
          <t>Sev 1-2</t>
        </is>
      </c>
      <c r="F15" s="25" t="inlineStr">
        <is>
          <t>4</t>
        </is>
      </c>
      <c r="G15" s="25" t="inlineStr">
        <is>
          <t>24x7</t>
        </is>
      </c>
      <c r="H15" s="27" t="n">
        <v>45762</v>
      </c>
    </row>
    <row r="16" ht="19.5" customHeight="1">
      <c r="A16" s="25" t="inlineStr">
        <is>
          <t>CN-005</t>
        </is>
      </c>
      <c r="B16" s="25" t="inlineStr">
        <is>
          <t>Indiana Office of Technology (IOT), IN-ISAC</t>
        </is>
      </c>
      <c r="C16" s="25" t="inlineStr">
        <is>
          <t>IN-ISAC reporting portal</t>
        </is>
      </c>
      <c r="D16" s="25" t="inlineStr">
        <is>
          <t>IOT duty officer</t>
        </is>
      </c>
      <c r="E16" s="25" t="inlineStr">
        <is>
          <t>Sev 1</t>
        </is>
      </c>
      <c r="F16" s="25" t="inlineStr">
        <is>
          <t>5</t>
        </is>
      </c>
      <c r="G16" s="25" t="inlineStr">
        <is>
          <t>Per HEA 1169</t>
        </is>
      </c>
      <c r="H16" s="27" t="n">
        <v>46063</v>
      </c>
    </row>
    <row r="17" ht="19.5" customHeight="1">
      <c r="A17" s="25" t="inlineStr">
        <is>
          <t>CN-006</t>
        </is>
      </c>
      <c r="B17" s="25" t="inlineStr">
        <is>
          <t>FBI Indianapolis / CISA</t>
        </is>
      </c>
      <c r="C17" s="25" t="inlineStr">
        <is>
          <t>FBI IC3 / CISA report</t>
        </is>
      </c>
      <c r="D17" s="25" t="inlineStr">
        <is>
          <t>-</t>
        </is>
      </c>
      <c r="E17" s="25" t="inlineStr">
        <is>
          <t>Sev 1</t>
        </is>
      </c>
      <c r="F17" s="25" t="inlineStr">
        <is>
          <t>6</t>
        </is>
      </c>
      <c r="G17" s="25" t="inlineStr">
        <is>
          <t>24x7 report</t>
        </is>
      </c>
      <c r="H17" s="27" t="n">
        <v>46063</v>
      </c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5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5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5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5" t="n"/>
    </row>
    <row r="23" ht="15" customHeight="1">
      <c r="A23" s="5" t="inlineStr">
        <is>
          <t>Summary</t>
        </is>
      </c>
    </row>
    <row r="24" ht="15" customHeight="1">
      <c r="A24" s="4" t="inlineStr">
        <is>
          <t>Total contacts listed</t>
        </is>
      </c>
      <c r="B24" s="26" t="n"/>
      <c r="C24" s="13">
        <f>COUNTA(A12:A21)</f>
        <v/>
      </c>
    </row>
    <row r="25" ht="15" customHeight="1">
      <c r="A25" s="4" t="inlineStr">
        <is>
          <t>Verified in the last 12 months</t>
        </is>
      </c>
      <c r="B25" s="26" t="n"/>
      <c r="C25" s="13">
        <f>COUNTIFS(A12:A21,"&lt;&gt;",H12:H21,"&gt;="&amp;(TODAY()-365))</f>
        <v/>
      </c>
    </row>
    <row r="26" ht="15" customHeight="1">
      <c r="A26" s="4" t="inlineStr">
        <is>
          <t>Overdue for verification</t>
        </is>
      </c>
      <c r="B26" s="26" t="n"/>
      <c r="C26" s="13">
        <f>COUNTIFS(A12:A21,"&lt;&gt;",H12:H21,"&lt;"&amp;(TODAY()-365))</f>
        <v/>
      </c>
    </row>
    <row r="27" ht="15" customHeight="1">
      <c r="A27" s="4" t="inlineStr">
        <is>
          <t>Awaiting first verification</t>
        </is>
      </c>
      <c r="B27" s="26" t="n"/>
      <c r="C27" s="13">
        <f>COUNTIFS(A12:A21,"&lt;&gt;",H12:H21,"")</f>
        <v/>
      </c>
    </row>
    <row r="28" ht="15" customHeight="1">
      <c r="A28" s="4" t="n"/>
      <c r="B28" s="26" t="n"/>
      <c r="C28" s="13" t="n"/>
    </row>
    <row r="29" ht="15" customHeight="1">
      <c r="A29" s="4" t="n"/>
      <c r="B29" s="26" t="n"/>
      <c r="C29" s="13" t="n"/>
    </row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§5.6.5 (Incident Detection and Response)</t>
        </is>
      </c>
    </row>
    <row r="34" ht="15" customHeight="1">
      <c r="A34" s="3" t="inlineStr">
        <is>
          <t>NIST SP 800-53 Rev. 5: IR-4, IR-6, IR-7</t>
        </is>
      </c>
    </row>
    <row r="35" ht="15" customHeight="1">
      <c r="A35" s="3" t="inlineStr">
        <is>
          <t>Indiana statutes and administrative code: HEA 1169 (2021): Cyber Incident Reporting to IOT; IC 24-4.9: Data Breach Notification</t>
        </is>
      </c>
    </row>
    <row r="36" ht="15" customHeight="1">
      <c r="A36" s="3" t="inlineStr">
        <is>
          <t>CJIS Security Policy v5.9: §5.3 (Incident Response) (CJIS-regulated data in scope, via IDACS)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911 Director</t>
        </is>
      </c>
      <c r="B40" s="15" t="inlineStr">
        <is>
          <t>Tracy Holloway</t>
        </is>
      </c>
      <c r="C40" s="15" t="inlineStr">
        <is>
          <t>/s/ Tracy Holloway</t>
        </is>
      </c>
      <c r="D40" s="15" t="inlineStr">
        <is>
          <t>2026-02-16</t>
        </is>
      </c>
    </row>
    <row r="41" ht="34" customHeight="1">
      <c r="A41" s="12" t="inlineStr">
        <is>
          <t>911 Director</t>
        </is>
      </c>
      <c r="B41" s="15" t="inlineStr">
        <is>
          <t>Tracy Holloway</t>
        </is>
      </c>
      <c r="C41" s="15" t="inlineStr">
        <is>
          <t>/s/ Tracy Holloway</t>
        </is>
      </c>
      <c r="D41" s="15" t="inlineStr">
        <is>
          <t>2026-02-16</t>
        </is>
      </c>
    </row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12" t="inlineStr">
        <is>
          <t>2026-02-16</t>
        </is>
      </c>
      <c r="C45" s="12" t="inlineStr">
        <is>
          <t>911 Director</t>
        </is>
      </c>
      <c r="D45" s="12" t="inlineStr">
        <is>
          <t>Initial issue</t>
        </is>
      </c>
      <c r="E45" s="12" t="n"/>
      <c r="F45" s="12" t="n"/>
      <c r="G45" s="12" t="n"/>
    </row>
    <row r="47" ht="30" customHeight="1">
      <c r="A47" s="2" t="n"/>
    </row>
  </sheetData>
  <mergeCells count="30">
    <mergeCell ref="A9:H9"/>
    <mergeCell ref="A24:B24"/>
    <mergeCell ref="A36:H36"/>
    <mergeCell ref="A1:H1"/>
    <mergeCell ref="A6:B6"/>
    <mergeCell ref="A7:B7"/>
    <mergeCell ref="A25:B25"/>
    <mergeCell ref="A27:B27"/>
    <mergeCell ref="A3:B3"/>
    <mergeCell ref="C7:H7"/>
    <mergeCell ref="A26:B26"/>
    <mergeCell ref="A2:H2"/>
    <mergeCell ref="A5:B5"/>
    <mergeCell ref="A33:H33"/>
    <mergeCell ref="A47:H47"/>
    <mergeCell ref="C3:H3"/>
    <mergeCell ref="A23:H23"/>
    <mergeCell ref="A32:H32"/>
    <mergeCell ref="A4:B4"/>
    <mergeCell ref="C6:H6"/>
    <mergeCell ref="A29:B29"/>
    <mergeCell ref="A35:H35"/>
    <mergeCell ref="A43:H43"/>
    <mergeCell ref="A38:H38"/>
    <mergeCell ref="C5:H5"/>
    <mergeCell ref="A28:B28"/>
    <mergeCell ref="A10:H10"/>
    <mergeCell ref="C4:H4"/>
    <mergeCell ref="A31:H31"/>
    <mergeCell ref="A34:H34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2026-07-09T18:15:13Z</dcterms:modified>
  <cp:lastModifiedBy>Jason Jeffares</cp:lastModifiedBy>
  <cp:revision>0</cp:revision>
</cp:coreProperties>
</file>
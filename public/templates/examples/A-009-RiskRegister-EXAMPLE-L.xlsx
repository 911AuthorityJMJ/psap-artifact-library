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gister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<sst xmlns="http://schemas.openxmlformats.org/spreadsheetml/2006/main" count="138" uniqueCount="97">
  <si>
    <t xml:space="preserve">Tri-River Regional 911 Center   ·   Worked Example</t>
  </si>
  <si>
    <t xml:space="preserve">Risk Register</t>
  </si>
  <si>
    <t xml:space="preserve">Authority</t>
  </si>
  <si>
    <t xml:space="preserve">Adopted by Tri-River Regional 911 Center under the authority of Dr. Lisa Park, Executive Director.</t>
  </si>
  <si>
    <t xml:space="preserve">Owner</t>
  </si>
  <si>
    <t xml:space="preserve">Information Security Analyst</t>
  </si>
  <si>
    <t xml:space="preserve">Version / Dates</t>
  </si>
  <si>
    <t xml:space="preserve">Version 1.0      Effective Date 2026-01-20      Next Review 2027-01-20</t>
  </si>
  <si>
    <t xml:space="preserve">Classification</t>
  </si>
  <si>
    <t xml:space="preserve">Restricted</t>
  </si>
  <si>
    <t xml:space="preserve">Review cadence</t>
  </si>
  <si>
    <t xml:space="preserve">Reviewed monthly by the Information Security Analyst; the register grows through all program phases.</t>
  </si>
  <si>
    <t xml:space="preserve">Risk Register Entries</t>
  </si>
  <si>
    <t xml:space="preserve">Risk ID</t>
  </si>
  <si>
    <t xml:space="preserve">Risk Description</t>
  </si>
  <si>
    <t xml:space="preserve">Source / Category</t>
  </si>
  <si>
    <t xml:space="preserve">Likelihood</t>
  </si>
  <si>
    <t xml:space="preserve">Impact</t>
  </si>
  <si>
    <t xml:space="preserve">Risk Rating</t>
  </si>
  <si>
    <t xml:space="preserve">Treatment Decision</t>
  </si>
  <si>
    <t xml:space="preserve">Risk Owner (Role)</t>
  </si>
  <si>
    <t xml:space="preserve">Status</t>
  </si>
  <si>
    <t xml:space="preserve">Review Date</t>
  </si>
  <si>
    <t xml:space="preserve">Cross-Ref (POA&amp;M / Treatment Log)</t>
  </si>
  <si>
    <t xml:space="preserve">RISK-001</t>
  </si>
  <si>
    <t xml:space="preserve">Carrier path creates a 911 call-delivery single point of failure</t>
  </si>
  <si>
    <t xml:space="preserve">Continuity</t>
  </si>
  <si>
    <t xml:space="preserve">Unlikely</t>
  </si>
  <si>
    <t xml:space="preserve">Severe</t>
  </si>
  <si>
    <t xml:space="preserve">High</t>
  </si>
  <si>
    <t xml:space="preserve">Treat: active-active routing validated quarterly</t>
  </si>
  <si>
    <t xml:space="preserve">Treating</t>
  </si>
  <si>
    <t xml:space="preserve">2026-06-05</t>
  </si>
  <si>
    <t xml:space="preserve">POA&amp;M-001</t>
  </si>
  <si>
    <t xml:space="preserve">RISK-002</t>
  </si>
  <si>
    <t xml:space="preserve">Expanding multimedia ingestion broadens the attack surface</t>
  </si>
  <si>
    <t xml:space="preserve">Technical</t>
  </si>
  <si>
    <t xml:space="preserve">Possible</t>
  </si>
  <si>
    <t xml:space="preserve">Major</t>
  </si>
  <si>
    <t xml:space="preserve">Treat: sanitize and sandbox file ingestion</t>
  </si>
  <si>
    <t xml:space="preserve">POA&amp;M-002</t>
  </si>
  <si>
    <t xml:space="preserve">RISK-003</t>
  </si>
  <si>
    <t xml:space="preserve">Third-party integrations increase supply-chain exposure</t>
  </si>
  <si>
    <t xml:space="preserve">Third-party</t>
  </si>
  <si>
    <t xml:space="preserve">Treat: vendor security assessments on renewal</t>
  </si>
  <si>
    <t xml:space="preserve">IT Director</t>
  </si>
  <si>
    <t xml:space="preserve">Open</t>
  </si>
  <si>
    <t xml:space="preserve">POA&amp;M-003</t>
  </si>
  <si>
    <t xml:space="preserve">RISK-004</t>
  </si>
  <si>
    <t xml:space="preserve">Privileged access sprawl across two centers</t>
  </si>
  <si>
    <t xml:space="preserve">Access</t>
  </si>
  <si>
    <t xml:space="preserve">Treat: PAM rollout in progress</t>
  </si>
  <si>
    <t xml:space="preserve">POA&amp;M-004</t>
  </si>
  <si>
    <t xml:space="preserve">RISK-005</t>
  </si>
  <si>
    <t xml:space="preserve">Alert fatigue in the monitoring program</t>
  </si>
  <si>
    <t xml:space="preserve">Operational</t>
  </si>
  <si>
    <t xml:space="preserve">Likely</t>
  </si>
  <si>
    <t xml:space="preserve">Moderate</t>
  </si>
  <si>
    <t xml:space="preserve">Treat: tune SIEM thresholds</t>
  </si>
  <si>
    <t xml:space="preserve">POA&amp;M-005</t>
  </si>
  <si>
    <t xml:space="preserve">RISK-006</t>
  </si>
  <si>
    <t xml:space="preserve">Insider misuse of CJIS data</t>
  </si>
  <si>
    <t xml:space="preserve">Insider</t>
  </si>
  <si>
    <t xml:space="preserve">Treat: enhanced logging and periodic access review</t>
  </si>
  <si>
    <t xml:space="preserve">POA&amp;M-006</t>
  </si>
  <si>
    <t xml:space="preserve">RISK-007</t>
  </si>
  <si>
    <t xml:space="preserve">Legacy integration without current encryption</t>
  </si>
  <si>
    <t xml:space="preserve">Accept: scheduled for replacement in FY27</t>
  </si>
  <si>
    <t xml:space="preserve">Accepted</t>
  </si>
  <si>
    <t xml:space="preserve">Treatment Log RT-007</t>
  </si>
  <si>
    <t xml:space="preserve">Summary</t>
  </si>
  <si>
    <t xml:space="preserve">Total risks</t>
  </si>
  <si>
    <t xml:space="preserve">Closed</t>
  </si>
  <si>
    <t xml:space="preserve">Past due for review</t>
  </si>
  <si>
    <t xml:space="preserve">Scope &amp; Boundary</t>
  </si>
  <si>
    <t xml:space="preserve">This register holds enterprise and strategic risks. Assessment findings tracked to closure are recorded in the Risk / Finding Register (POA&amp;M); current treatment state is maintained in the Risk Treatment / Acceptance Decisions Log. Those documents carry the detail; this register references them.</t>
  </si>
  <si>
    <t xml:space="preserve">Likelihood, impact, and rating are scored using the scale defined in the Risk Management Methodology Standard: likelihood from Rare to Almost Certain, impact from Negligible to Severe (against service, data, and life safety), combined into a rating of Low, Moderate, High, or Critical.</t>
  </si>
  <si>
    <t xml:space="preserve">Downstream Use</t>
  </si>
  <si>
    <t xml:space="preserve">This register is the parent risk record. The Risk / Finding Register (POA&amp;M) feeds findings into it, and the Board / Leadership Security Reporting Template rolls it up for leadership.</t>
  </si>
  <si>
    <t xml:space="preserve">Source Authority</t>
  </si>
  <si>
    <t xml:space="preserve">NENA-STA-040.2-2024: §4.3, §4.3.1</t>
  </si>
  <si>
    <t xml:space="preserve">NIST SP 800-53 Rev. 5: CA-5, PM-9, RA-3, RA-7</t>
  </si>
  <si>
    <t xml:space="preserve">Approval Signatures</t>
  </si>
  <si>
    <t xml:space="preserve">Role</t>
  </si>
  <si>
    <t xml:space="preserve">Name</t>
  </si>
  <si>
    <t xml:space="preserve">Signature</t>
  </si>
  <si>
    <t xml:space="preserve">Date</t>
  </si>
  <si>
    <t xml:space="preserve">Executive Director</t>
  </si>
  <si>
    <t xml:space="preserve">Dr. Lisa Park</t>
  </si>
  <si>
    <t xml:space="preserve">2026-01-20</t>
  </si>
  <si>
    <t xml:space="preserve">(on file)</t>
  </si>
  <si>
    <t xml:space="preserve">Revision History</t>
  </si>
  <si>
    <t xml:space="preserve">Version</t>
  </si>
  <si>
    <t xml:space="preserve">Author</t>
  </si>
  <si>
    <t xml:space="preserve">Summary of Change</t>
  </si>
  <si>
    <t xml:space="preserve">1.0</t>
  </si>
  <si>
    <t xml:space="preserve">Initial issue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</si>
</sst>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1B3A5C"/>
      <name val="Aptos"/>
      <family val="0"/>
      <charset val="1"/>
    </font>
    <font>
      <b val="true"/>
      <sz val="16"/>
      <color rgb="FFFFFFFF"/>
      <name val="Aptos"/>
      <family val="0"/>
      <charset val="1"/>
    </font>
    <font>
      <sz val="12"/>
      <color rgb="FF000000"/>
      <name val="Aptos"/>
      <family val="0"/>
      <charset val="1"/>
    </font>
    <font>
      <b val="true"/>
      <sz val="12"/>
      <color rgb="FFFFFFFF"/>
      <name val="Aptos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B3A5C"/>
        <bgColor rgb="FF333333"/>
      </patternFill>
    </fill>
    <fill>
      <patternFill patternType="solid">
        <fgColor rgb="FFEEF2F7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EF2F7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B3A5C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2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0</xdr:col>
      <xdr:colOff>552240</xdr:colOff>
      <xdr:row>0</xdr:row>
      <xdr:rowOff>552240</xdr:rowOff>
    </xdr:to>
    <xdr:pic>
      <xdr:nvPicPr>
        <xdr:cNvPr id="1" name="Image 1" descr="Picture"/>
        <xdr:cNvPicPr/>
      </xdr:nvPicPr>
      <xdr:blipFill>
        <a:blip r:embed="rId1"/>
        <a:stretch/>
      </xdr:blipFill>
      <xdr:spPr>
        <a:xfrm>
          <a:off x="0" y="0"/>
          <a:ext cx="552240" cy="552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1</xdr:row>
      <xdr:rowOff>0</xdr:rowOff>
    </xdr:from>
    <xdr:to>
      <xdr:col>4</xdr:col>
      <xdr:colOff>773280</xdr:colOff>
      <xdr:row>10</xdr:row>
      <xdr:rowOff>437760</xdr:rowOff>
    </xdr:to>
    <xdr:pic>
      <xdr:nvPicPr>
        <xdr:cNvPr id="2" name="Image 2" descr="Picture"/>
        <xdr:cNvPicPr/>
      </xdr:nvPicPr>
      <xdr:blipFill>
        <a:blip r:embed="rId2"/>
        <a:stretch/>
      </xdr:blipFill>
      <xdr:spPr>
        <a:xfrm>
          <a:off x="704880" y="581040"/>
          <a:ext cx="5143320" cy="3238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19</xdr:row>
      <xdr:rowOff>0</xdr:rowOff>
    </xdr:from>
    <xdr:to>
      <xdr:col>4</xdr:col>
      <xdr:colOff>773280</xdr:colOff>
      <xdr:row>29</xdr:row>
      <xdr:rowOff>761400</xdr:rowOff>
    </xdr:to>
    <xdr:pic>
      <xdr:nvPicPr>
        <xdr:cNvPr id="3" name="Image 3" descr="Picture"/>
        <xdr:cNvPicPr/>
      </xdr:nvPicPr>
      <xdr:blipFill>
        <a:blip r:embed="rId3"/>
        <a:stretch/>
      </xdr:blipFill>
      <xdr:spPr>
        <a:xfrm>
          <a:off x="704880" y="7467480"/>
          <a:ext cx="5143320" cy="323820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4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1" topLeftCell="A1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30"/>
    <col collapsed="false" customWidth="true" hidden="false" outlineLevel="0" max="3" min="3" style="0" width="18"/>
    <col collapsed="false" customWidth="true" hidden="false" outlineLevel="0" max="4" min="4" style="0" width="14"/>
    <col collapsed="false" customWidth="true" hidden="false" outlineLevel="0" max="5" min="5" style="0" width="12"/>
    <col collapsed="false" customWidth="true" hidden="false" outlineLevel="0" max="6" min="6" style="0" width="14"/>
    <col collapsed="false" customWidth="true" hidden="false" outlineLevel="0" max="7" min="7" style="0" width="26"/>
    <col collapsed="false" customWidth="true" hidden="false" outlineLevel="0" max="8" min="8" style="0" width="20"/>
    <col collapsed="false" customWidth="true" hidden="false" outlineLevel="0" max="9" min="9" style="0" width="14"/>
    <col collapsed="false" customWidth="true" hidden="false" outlineLevel="0" max="10" min="10" style="0" width="16"/>
    <col collapsed="false" customWidth="true" hidden="false" outlineLevel="0" max="11" min="11" style="0" width="26"/>
  </cols>
  <sheetData>
    <row r="1" customFormat="false" ht="45.75" hidden="false" customHeight="true" outlineLevel="0" collapsed="false">
      <c r="C1" s="1" t="s">
        <v>0</v>
      </c>
      <c r="D1" s="1"/>
      <c r="E1" s="1"/>
      <c r="F1" s="1"/>
      <c r="G1" s="1"/>
      <c r="H1" s="1"/>
      <c r="I1" s="1"/>
      <c r="J1" s="1"/>
      <c r="K1" s="1"/>
    </row>
    <row r="2" customFormat="false" ht="25.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4" customFormat="false" ht="30" hidden="false" customHeight="true" outlineLevel="0" collapsed="false">
      <c r="A4" s="3" t="s">
        <v>2</v>
      </c>
      <c r="B4" s="3"/>
      <c r="C4" s="4" t="s">
        <v>3</v>
      </c>
      <c r="D4" s="4"/>
      <c r="E4" s="4"/>
      <c r="F4" s="4"/>
      <c r="G4" s="4"/>
      <c r="H4" s="4"/>
      <c r="I4" s="4"/>
      <c r="J4" s="4"/>
      <c r="K4" s="4"/>
    </row>
    <row r="5" customFormat="false" ht="30" hidden="false" customHeight="true" outlineLevel="0" collapsed="false">
      <c r="A5" s="3" t="s">
        <v>4</v>
      </c>
      <c r="B5" s="3"/>
      <c r="C5" s="4" t="s">
        <v>5</v>
      </c>
      <c r="D5" s="4"/>
      <c r="E5" s="4"/>
      <c r="F5" s="4"/>
      <c r="G5" s="4"/>
      <c r="H5" s="4"/>
      <c r="I5" s="4"/>
      <c r="J5" s="4"/>
      <c r="K5" s="4"/>
    </row>
    <row r="6" customFormat="false" ht="30" hidden="false" customHeight="true" outlineLevel="0" collapsed="false">
      <c r="A6" s="3" t="s">
        <v>6</v>
      </c>
      <c r="B6" s="3"/>
      <c r="C6" s="4" t="s">
        <v>7</v>
      </c>
      <c r="D6" s="4"/>
      <c r="E6" s="4"/>
      <c r="F6" s="4"/>
      <c r="G6" s="4"/>
      <c r="H6" s="4"/>
      <c r="I6" s="4"/>
      <c r="J6" s="4"/>
      <c r="K6" s="4"/>
    </row>
    <row r="7" customFormat="false" ht="30" hidden="false" customHeight="true" outlineLevel="0" collapsed="false">
      <c r="A7" s="3" t="s">
        <v>8</v>
      </c>
      <c r="B7" s="3"/>
      <c r="C7" s="4" t="s">
        <v>9</v>
      </c>
      <c r="D7" s="4"/>
      <c r="E7" s="4"/>
      <c r="F7" s="4"/>
      <c r="G7" s="4"/>
      <c r="H7" s="4"/>
      <c r="I7" s="4"/>
      <c r="J7" s="4"/>
      <c r="K7" s="4"/>
    </row>
    <row r="8" customFormat="false" ht="30" hidden="false" customHeight="true" outlineLevel="0" collapsed="false">
      <c r="A8" s="3" t="s">
        <v>10</v>
      </c>
      <c r="B8" s="3"/>
      <c r="C8" s="4" t="s">
        <v>11</v>
      </c>
      <c r="D8" s="4"/>
      <c r="E8" s="4"/>
      <c r="F8" s="4"/>
      <c r="G8" s="4"/>
      <c r="H8" s="4"/>
      <c r="I8" s="4"/>
      <c r="J8" s="4"/>
      <c r="K8" s="4"/>
    </row>
    <row r="10" customFormat="false" ht="15" hidden="false" customHeight="false" outlineLevel="0" collapsed="false">
      <c r="A10" s="5" t="s">
        <v>12</v>
      </c>
      <c r="B10" s="5"/>
      <c r="C10" s="5"/>
      <c r="D10" s="5"/>
      <c r="E10" s="5"/>
      <c r="F10" s="5"/>
      <c r="G10" s="5"/>
      <c r="H10" s="5"/>
      <c r="I10" s="5"/>
      <c r="J10" s="5"/>
      <c r="K10" s="5"/>
    </row>
    <row r="11" customFormat="false" ht="39.75" hidden="false" customHeight="true" outlineLevel="0" collapsed="false">
      <c r="A11" s="6" t="s">
        <v>13</v>
      </c>
      <c r="B11" s="6" t="s">
        <v>14</v>
      </c>
      <c r="C11" s="6" t="s">
        <v>15</v>
      </c>
      <c r="D11" s="6" t="s">
        <v>16</v>
      </c>
      <c r="E11" s="6" t="s">
        <v>17</v>
      </c>
      <c r="F11" s="6" t="s">
        <v>18</v>
      </c>
      <c r="G11" s="6" t="s">
        <v>19</v>
      </c>
      <c r="H11" s="6" t="s">
        <v>20</v>
      </c>
      <c r="I11" s="6" t="s">
        <v>21</v>
      </c>
      <c r="J11" s="6" t="s">
        <v>22</v>
      </c>
      <c r="K11" s="6" t="s">
        <v>23</v>
      </c>
    </row>
    <row r="12" customFormat="false" ht="51" hidden="false" customHeight="true" outlineLevel="0" collapsed="false">
      <c r="A12" s="7" t="s">
        <v>24</v>
      </c>
      <c r="B12" s="7" t="s">
        <v>25</v>
      </c>
      <c r="C12" s="7" t="s">
        <v>26</v>
      </c>
      <c r="D12" s="7" t="s">
        <v>27</v>
      </c>
      <c r="E12" s="7" t="s">
        <v>28</v>
      </c>
      <c r="F12" s="7" t="s">
        <v>29</v>
      </c>
      <c r="G12" s="7" t="s">
        <v>30</v>
      </c>
      <c r="H12" s="7" t="s">
        <v>5</v>
      </c>
      <c r="I12" s="7" t="s">
        <v>31</v>
      </c>
      <c r="J12" s="7" t="s">
        <v>32</v>
      </c>
      <c r="K12" s="7" t="s">
        <v>33</v>
      </c>
    </row>
    <row r="13" customFormat="false" ht="36" hidden="false" customHeight="true" outlineLevel="0" collapsed="false">
      <c r="A13" s="7" t="s">
        <v>34</v>
      </c>
      <c r="B13" s="7" t="s">
        <v>35</v>
      </c>
      <c r="C13" s="7" t="s">
        <v>36</v>
      </c>
      <c r="D13" s="7" t="s">
        <v>37</v>
      </c>
      <c r="E13" s="7" t="s">
        <v>38</v>
      </c>
      <c r="F13" s="7" t="s">
        <v>29</v>
      </c>
      <c r="G13" s="7" t="s">
        <v>39</v>
      </c>
      <c r="H13" s="7" t="s">
        <v>5</v>
      </c>
      <c r="I13" s="7" t="s">
        <v>31</v>
      </c>
      <c r="J13" s="7" t="s">
        <v>32</v>
      </c>
      <c r="K13" s="7" t="s">
        <v>40</v>
      </c>
    </row>
    <row r="14" customFormat="false" ht="36" hidden="false" customHeight="true" outlineLevel="0" collapsed="false">
      <c r="A14" s="7" t="s">
        <v>41</v>
      </c>
      <c r="B14" s="7" t="s">
        <v>42</v>
      </c>
      <c r="C14" s="7" t="s">
        <v>43</v>
      </c>
      <c r="D14" s="7" t="s">
        <v>37</v>
      </c>
      <c r="E14" s="7" t="s">
        <v>38</v>
      </c>
      <c r="F14" s="7" t="s">
        <v>29</v>
      </c>
      <c r="G14" s="7" t="s">
        <v>44</v>
      </c>
      <c r="H14" s="7" t="s">
        <v>45</v>
      </c>
      <c r="I14" s="7" t="s">
        <v>46</v>
      </c>
      <c r="J14" s="7" t="s">
        <v>32</v>
      </c>
      <c r="K14" s="7" t="s">
        <v>47</v>
      </c>
    </row>
    <row r="15" customFormat="false" ht="36" hidden="false" customHeight="true" outlineLevel="0" collapsed="false">
      <c r="A15" s="7" t="s">
        <v>48</v>
      </c>
      <c r="B15" s="7" t="s">
        <v>49</v>
      </c>
      <c r="C15" s="7" t="s">
        <v>50</v>
      </c>
      <c r="D15" s="7" t="s">
        <v>37</v>
      </c>
      <c r="E15" s="7" t="s">
        <v>38</v>
      </c>
      <c r="F15" s="7" t="s">
        <v>29</v>
      </c>
      <c r="G15" s="7" t="s">
        <v>51</v>
      </c>
      <c r="H15" s="7" t="s">
        <v>5</v>
      </c>
      <c r="I15" s="7" t="s">
        <v>31</v>
      </c>
      <c r="J15" s="7" t="s">
        <v>32</v>
      </c>
      <c r="K15" s="7" t="s">
        <v>52</v>
      </c>
    </row>
    <row r="16" customFormat="false" ht="36" hidden="false" customHeight="true" outlineLevel="0" collapsed="false">
      <c r="A16" s="7" t="s">
        <v>53</v>
      </c>
      <c r="B16" s="7" t="s">
        <v>54</v>
      </c>
      <c r="C16" s="7" t="s">
        <v>55</v>
      </c>
      <c r="D16" s="7" t="s">
        <v>56</v>
      </c>
      <c r="E16" s="7" t="s">
        <v>57</v>
      </c>
      <c r="F16" s="7" t="s">
        <v>29</v>
      </c>
      <c r="G16" s="7" t="s">
        <v>58</v>
      </c>
      <c r="H16" s="7" t="s">
        <v>5</v>
      </c>
      <c r="I16" s="7" t="s">
        <v>31</v>
      </c>
      <c r="J16" s="7" t="s">
        <v>32</v>
      </c>
      <c r="K16" s="7" t="s">
        <v>59</v>
      </c>
    </row>
    <row r="17" customFormat="false" ht="36" hidden="false" customHeight="true" outlineLevel="0" collapsed="false">
      <c r="A17" s="7" t="s">
        <v>60</v>
      </c>
      <c r="B17" s="7" t="s">
        <v>61</v>
      </c>
      <c r="C17" s="7" t="s">
        <v>62</v>
      </c>
      <c r="D17" s="7" t="s">
        <v>27</v>
      </c>
      <c r="E17" s="7" t="s">
        <v>28</v>
      </c>
      <c r="F17" s="7" t="s">
        <v>29</v>
      </c>
      <c r="G17" s="7" t="s">
        <v>63</v>
      </c>
      <c r="H17" s="7" t="s">
        <v>5</v>
      </c>
      <c r="I17" s="7" t="s">
        <v>46</v>
      </c>
      <c r="J17" s="7" t="s">
        <v>32</v>
      </c>
      <c r="K17" s="7" t="s">
        <v>64</v>
      </c>
    </row>
    <row r="18" customFormat="false" ht="36" hidden="false" customHeight="true" outlineLevel="0" collapsed="false">
      <c r="A18" s="7" t="s">
        <v>65</v>
      </c>
      <c r="B18" s="7" t="s">
        <v>66</v>
      </c>
      <c r="C18" s="7" t="s">
        <v>36</v>
      </c>
      <c r="D18" s="7" t="s">
        <v>37</v>
      </c>
      <c r="E18" s="7" t="s">
        <v>57</v>
      </c>
      <c r="F18" s="7" t="s">
        <v>57</v>
      </c>
      <c r="G18" s="7" t="s">
        <v>67</v>
      </c>
      <c r="H18" s="7" t="s">
        <v>45</v>
      </c>
      <c r="I18" s="7" t="s">
        <v>68</v>
      </c>
      <c r="J18" s="7" t="s">
        <v>32</v>
      </c>
      <c r="K18" s="7" t="s">
        <v>69</v>
      </c>
    </row>
    <row r="20" customFormat="false" ht="15" hidden="false" customHeight="false" outlineLevel="0" collapsed="false">
      <c r="A20" s="5" t="s">
        <v>70</v>
      </c>
      <c r="B20" s="5"/>
      <c r="C20" s="5"/>
      <c r="D20" s="5"/>
      <c r="E20" s="5"/>
      <c r="F20" s="5"/>
      <c r="G20" s="5"/>
      <c r="H20" s="5"/>
      <c r="I20" s="5"/>
      <c r="J20" s="5"/>
      <c r="K20" s="5"/>
    </row>
    <row r="21" customFormat="false" ht="15" hidden="false" customHeight="false" outlineLevel="0" collapsed="false">
      <c r="A21" s="8" t="s">
        <v>71</v>
      </c>
      <c r="C21" s="8" t="n">
        <f aca="false">COUNTA(A12:A18)</f>
        <v>7</v>
      </c>
    </row>
    <row r="22" customFormat="false" ht="15" hidden="false" customHeight="false" outlineLevel="0" collapsed="false">
      <c r="A22" s="8" t="s">
        <v>46</v>
      </c>
      <c r="C22" s="8" t="n">
        <f aca="false">COUNTIF(I12:I18,"Open")</f>
        <v>2</v>
      </c>
    </row>
    <row r="23" customFormat="false" ht="15" hidden="false" customHeight="false" outlineLevel="0" collapsed="false">
      <c r="A23" s="8" t="s">
        <v>31</v>
      </c>
      <c r="C23" s="8" t="n">
        <f aca="false">COUNTIF(I12:I18,"Treating")</f>
        <v>4</v>
      </c>
    </row>
    <row r="24" customFormat="false" ht="15" hidden="false" customHeight="false" outlineLevel="0" collapsed="false">
      <c r="A24" s="8" t="s">
        <v>68</v>
      </c>
      <c r="C24" s="8" t="n">
        <f aca="false">COUNTIF(I12:I18,"Accepted")</f>
        <v>1</v>
      </c>
    </row>
    <row r="25" customFormat="false" ht="15" hidden="false" customHeight="false" outlineLevel="0" collapsed="false">
      <c r="A25" s="8" t="s">
        <v>72</v>
      </c>
      <c r="C25" s="8" t="n">
        <f aca="false">COUNTIF(I12:I18,"Closed")</f>
        <v>0</v>
      </c>
    </row>
    <row r="26" customFormat="false" ht="15" hidden="false" customHeight="false" outlineLevel="0" collapsed="false">
      <c r="A26" s="8" t="s">
        <v>73</v>
      </c>
      <c r="C26" s="8" t="n">
        <f aca="true">COUNTIF(J12:J18,"&lt;"&amp;TODAY())</f>
        <v>0</v>
      </c>
    </row>
    <row r="28" customFormat="false" ht="15" hidden="false" customHeight="false" outlineLevel="0" collapsed="false">
      <c r="A28" s="5" t="s">
        <v>74</v>
      </c>
      <c r="B28" s="5"/>
      <c r="C28" s="5"/>
      <c r="D28" s="5"/>
      <c r="E28" s="5"/>
      <c r="F28" s="5"/>
      <c r="G28" s="5"/>
      <c r="H28" s="5"/>
      <c r="I28" s="5"/>
      <c r="J28" s="5"/>
      <c r="K28" s="5"/>
    </row>
    <row r="29" customFormat="false" ht="60" hidden="false" customHeight="true" outlineLevel="0" collapsed="false">
      <c r="A29" s="9" t="s">
        <v>75</v>
      </c>
      <c r="B29" s="9"/>
      <c r="C29" s="9"/>
      <c r="D29" s="9"/>
      <c r="E29" s="9"/>
      <c r="F29" s="9"/>
      <c r="G29" s="9"/>
      <c r="H29" s="9"/>
      <c r="I29" s="9"/>
      <c r="J29" s="9"/>
      <c r="K29" s="9"/>
    </row>
    <row r="30" customFormat="false" ht="60" hidden="false" customHeight="true" outlineLevel="0" collapsed="false">
      <c r="A30" s="9" t="s">
        <v>76</v>
      </c>
      <c r="B30" s="9"/>
      <c r="C30" s="9"/>
      <c r="D30" s="9"/>
      <c r="E30" s="9"/>
      <c r="F30" s="9"/>
      <c r="G30" s="9"/>
      <c r="H30" s="9"/>
      <c r="I30" s="9"/>
      <c r="J30" s="9"/>
      <c r="K30" s="9"/>
    </row>
    <row r="32" customFormat="false" ht="15" hidden="false" customHeight="false" outlineLevel="0" collapsed="false">
      <c r="A32" s="5" t="s">
        <v>77</v>
      </c>
      <c r="B32" s="5"/>
      <c r="C32" s="5"/>
      <c r="D32" s="5"/>
      <c r="E32" s="5"/>
      <c r="F32" s="5"/>
      <c r="G32" s="5"/>
      <c r="H32" s="5"/>
      <c r="I32" s="5"/>
      <c r="J32" s="5"/>
      <c r="K32" s="5"/>
    </row>
    <row r="33" customFormat="false" ht="45" hidden="false" customHeight="true" outlineLevel="0" collapsed="false">
      <c r="A33" s="9" t="s">
        <v>78</v>
      </c>
      <c r="B33" s="9"/>
      <c r="C33" s="9"/>
      <c r="D33" s="9"/>
      <c r="E33" s="9"/>
      <c r="F33" s="9"/>
      <c r="G33" s="9"/>
      <c r="H33" s="9"/>
      <c r="I33" s="9"/>
      <c r="J33" s="9"/>
      <c r="K33" s="9"/>
    </row>
    <row r="35" customFormat="false" ht="15" hidden="false" customHeight="false" outlineLevel="0" collapsed="false">
      <c r="A35" s="5" t="s">
        <v>79</v>
      </c>
      <c r="B35" s="5"/>
      <c r="C35" s="5"/>
      <c r="D35" s="5"/>
      <c r="E35" s="5"/>
      <c r="F35" s="5"/>
      <c r="G35" s="5"/>
      <c r="H35" s="5"/>
      <c r="I35" s="5"/>
      <c r="J35" s="5"/>
      <c r="K35" s="5"/>
    </row>
    <row r="36" customFormat="false" ht="15" hidden="false" customHeight="false" outlineLevel="0" collapsed="false">
      <c r="A36" s="10" t="s">
        <v>80</v>
      </c>
      <c r="B36" s="10"/>
      <c r="C36" s="10"/>
      <c r="D36" s="10"/>
      <c r="E36" s="10"/>
      <c r="F36" s="10"/>
      <c r="G36" s="10"/>
      <c r="H36" s="10"/>
      <c r="I36" s="10"/>
      <c r="J36" s="10"/>
      <c r="K36" s="10"/>
    </row>
    <row r="37" customFormat="false" ht="15" hidden="false" customHeight="false" outlineLevel="0" collapsed="false">
      <c r="A37" s="10" t="s">
        <v>81</v>
      </c>
      <c r="B37" s="10"/>
      <c r="C37" s="10"/>
      <c r="D37" s="10"/>
      <c r="E37" s="10"/>
      <c r="F37" s="10"/>
      <c r="G37" s="10"/>
      <c r="H37" s="10"/>
      <c r="I37" s="10"/>
      <c r="J37" s="10"/>
      <c r="K37" s="10"/>
    </row>
    <row r="39" customFormat="false" ht="15" hidden="false" customHeight="false" outlineLevel="0" collapsed="false">
      <c r="A39" s="5" t="s">
        <v>82</v>
      </c>
      <c r="B39" s="5"/>
      <c r="C39" s="5"/>
      <c r="D39" s="5"/>
      <c r="E39" s="5"/>
      <c r="F39" s="5"/>
      <c r="G39" s="5"/>
      <c r="H39" s="5"/>
      <c r="I39" s="5"/>
      <c r="J39" s="5"/>
      <c r="K39" s="5"/>
    </row>
    <row r="40" customFormat="false" ht="15" hidden="false" customHeight="false" outlineLevel="0" collapsed="false">
      <c r="A40" s="11" t="s">
        <v>83</v>
      </c>
      <c r="B40" s="11" t="s">
        <v>84</v>
      </c>
      <c r="C40" s="11" t="s">
        <v>85</v>
      </c>
      <c r="D40" s="11" t="s">
        <v>86</v>
      </c>
    </row>
    <row r="41" customFormat="false" ht="25.5" hidden="false" customHeight="true" outlineLevel="0" collapsed="false">
      <c r="A41" s="12" t="s">
        <v>87</v>
      </c>
      <c r="B41" s="12" t="s">
        <v>88</v>
      </c>
      <c r="C41" s="12" t="s">
        <v>88</v>
      </c>
      <c r="D41" s="12" t="s">
        <v>89</v>
      </c>
    </row>
    <row r="42" customFormat="false" ht="25.5" hidden="false" customHeight="true" outlineLevel="0" collapsed="false">
      <c r="A42" s="12" t="s">
        <v>5</v>
      </c>
      <c r="B42" s="12" t="s">
        <v>90</v>
      </c>
      <c r="C42" s="12" t="s">
        <v>90</v>
      </c>
      <c r="D42" s="12" t="s">
        <v>89</v>
      </c>
    </row>
    <row r="44" customFormat="false" ht="15" hidden="false" customHeight="false" outlineLevel="0" collapsed="false">
      <c r="A44" s="5" t="s">
        <v>91</v>
      </c>
      <c r="B44" s="5"/>
      <c r="C44" s="5"/>
      <c r="D44" s="5"/>
      <c r="E44" s="5"/>
      <c r="F44" s="5"/>
      <c r="G44" s="5"/>
      <c r="H44" s="5"/>
      <c r="I44" s="5"/>
      <c r="J44" s="5"/>
      <c r="K44" s="5"/>
    </row>
    <row r="45" customFormat="false" ht="15" hidden="false" customHeight="false" outlineLevel="0" collapsed="false">
      <c r="A45" s="11" t="s">
        <v>92</v>
      </c>
      <c r="B45" s="11" t="s">
        <v>86</v>
      </c>
      <c r="C45" s="11" t="s">
        <v>93</v>
      </c>
      <c r="D45" s="11" t="s">
        <v>94</v>
      </c>
    </row>
    <row r="46" customFormat="false" ht="15" hidden="false" customHeight="false" outlineLevel="0" collapsed="false">
      <c r="A46" s="12" t="s">
        <v>95</v>
      </c>
      <c r="B46" s="12" t="s">
        <v>89</v>
      </c>
      <c r="C46" s="12" t="s">
        <v>5</v>
      </c>
      <c r="D46" s="12" t="s">
        <v>96</v>
      </c>
    </row>
  </sheetData>
  <mergeCells count="24">
    <mergeCell ref="C1:K1"/>
    <mergeCell ref="A2:K2"/>
    <mergeCell ref="A4:B4"/>
    <mergeCell ref="C4:K4"/>
    <mergeCell ref="A5:B5"/>
    <mergeCell ref="C5:K5"/>
    <mergeCell ref="A6:B6"/>
    <mergeCell ref="C6:K6"/>
    <mergeCell ref="A7:B7"/>
    <mergeCell ref="C7:K7"/>
    <mergeCell ref="A8:B8"/>
    <mergeCell ref="C8:K8"/>
    <mergeCell ref="A10:K10"/>
    <mergeCell ref="A20:K20"/>
    <mergeCell ref="A28:K28"/>
    <mergeCell ref="A29:K29"/>
    <mergeCell ref="A30:K30"/>
    <mergeCell ref="A32:K32"/>
    <mergeCell ref="A33:K33"/>
    <mergeCell ref="A35:K35"/>
    <mergeCell ref="A36:K36"/>
    <mergeCell ref="A37:K37"/>
    <mergeCell ref="A39:K39"/>
    <mergeCell ref="A44:K4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2026-06-04T20:28:45Z</dcterms:created>
  <dc:creator>openpyxl</dc:creator>
  <dc:description/>
  <dc:language>en-US</dc:language>
  <cp:lastModifiedBy/>
  <dcterms:modified xsi:type="dcterms:W3CDTF">2026-06-04T20:28:45Z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
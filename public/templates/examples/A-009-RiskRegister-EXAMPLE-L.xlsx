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<sst xmlns="http://schemas.openxmlformats.org/spreadsheetml/2006/main" count="138" uniqueCount="97">
  <si>
    <t xml:space="preserve">Tri-River Regional 911 Center   ·   Worked Example</t>
  </si>
  <si>
    <t xml:space="preserve">Risk Register</t>
  </si>
  <si>
    <t xml:space="preserve">Authority</t>
  </si>
  <si>
    <t xml:space="preserve">Adopted by Tri-River Regional 911 Center under the authority of Dr. Lisa Park, Executive Director.</t>
  </si>
  <si>
    <t xml:space="preserve">Owner</t>
  </si>
  <si>
    <t xml:space="preserve">Information Security Analyst</t>
  </si>
  <si>
    <t xml:space="preserve">Version / Dates</t>
  </si>
  <si>
    <t xml:space="preserve">Version 1.0      Effective Date 2026-01-20      Next Review 2027-01-20</t>
  </si>
  <si>
    <t xml:space="preserve">Classification</t>
  </si>
  <si>
    <t xml:space="preserve">Restricted</t>
  </si>
  <si>
    <t xml:space="preserve">Review cadence</t>
  </si>
  <si>
    <t xml:space="preserve">Reviewed monthly by the Information Security Analyst; the register grows through all program phases.</t>
  </si>
  <si>
    <t xml:space="preserve">Risk Register Entries</t>
  </si>
  <si>
    <t xml:space="preserve">Risk ID</t>
  </si>
  <si>
    <t xml:space="preserve">Risk Description</t>
  </si>
  <si>
    <t xml:space="preserve">Source / Category</t>
  </si>
  <si>
    <t xml:space="preserve">Likelihood</t>
  </si>
  <si>
    <t xml:space="preserve">Impact</t>
  </si>
  <si>
    <t xml:space="preserve">Risk Rating</t>
  </si>
  <si>
    <t xml:space="preserve">Treatment Decision</t>
  </si>
  <si>
    <t xml:space="preserve">Risk Owner (Role)</t>
  </si>
  <si>
    <t xml:space="preserve">Status</t>
  </si>
  <si>
    <t xml:space="preserve">Review Date</t>
  </si>
  <si>
    <t xml:space="preserve">Cross-Ref (POA&amp;M / Treatment Log)</t>
  </si>
  <si>
    <t xml:space="preserve">RISK-001</t>
  </si>
  <si>
    <t xml:space="preserve">Carrier path creates a 911 call-delivery single point of failure</t>
  </si>
  <si>
    <t xml:space="preserve">Continuity</t>
  </si>
  <si>
    <t xml:space="preserve">Unlikely</t>
  </si>
  <si>
    <t xml:space="preserve">Severe</t>
  </si>
  <si>
    <t xml:space="preserve">High</t>
  </si>
  <si>
    <t xml:space="preserve">Treat: active-active routing validated quarterly</t>
  </si>
  <si>
    <t xml:space="preserve">Treating</t>
  </si>
  <si>
    <t xml:space="preserve">2026-06-05</t>
  </si>
  <si>
    <t xml:space="preserve">POA&amp;M-001</t>
  </si>
  <si>
    <t xml:space="preserve">RISK-002</t>
  </si>
  <si>
    <t xml:space="preserve">Expanding multimedia ingestion broadens the attack surface</t>
  </si>
  <si>
    <t xml:space="preserve">Technical</t>
  </si>
  <si>
    <t xml:space="preserve">Possible</t>
  </si>
  <si>
    <t xml:space="preserve">Major</t>
  </si>
  <si>
    <t xml:space="preserve">Treat: sanitize and sandbox file ingestion</t>
  </si>
  <si>
    <t xml:space="preserve">POA&amp;M-002</t>
  </si>
  <si>
    <t xml:space="preserve">RISK-003</t>
  </si>
  <si>
    <t xml:space="preserve">Third-party integrations increase supply-chain exposure</t>
  </si>
  <si>
    <t xml:space="preserve">Third-party</t>
  </si>
  <si>
    <t xml:space="preserve">Treat: vendor security assessments on renewal</t>
  </si>
  <si>
    <t xml:space="preserve">IT Director</t>
  </si>
  <si>
    <t xml:space="preserve">Open</t>
  </si>
  <si>
    <t xml:space="preserve">POA&amp;M-003</t>
  </si>
  <si>
    <t xml:space="preserve">RISK-004</t>
  </si>
  <si>
    <t xml:space="preserve">Privileged access sprawl across two centers</t>
  </si>
  <si>
    <t xml:space="preserve">Access</t>
  </si>
  <si>
    <t xml:space="preserve">Treat: PAM rollout in progress</t>
  </si>
  <si>
    <t xml:space="preserve">POA&amp;M-004</t>
  </si>
  <si>
    <t xml:space="preserve">RISK-005</t>
  </si>
  <si>
    <t xml:space="preserve">Alert fatigue in the monitoring program</t>
  </si>
  <si>
    <t xml:space="preserve">Operational</t>
  </si>
  <si>
    <t xml:space="preserve">Likely</t>
  </si>
  <si>
    <t xml:space="preserve">Moderate</t>
  </si>
  <si>
    <t xml:space="preserve">Treat: tune SIEM thresholds</t>
  </si>
  <si>
    <t xml:space="preserve">POA&amp;M-005</t>
  </si>
  <si>
    <t xml:space="preserve">RISK-006</t>
  </si>
  <si>
    <t xml:space="preserve">Insider misuse of CJIS data</t>
  </si>
  <si>
    <t xml:space="preserve">Insider</t>
  </si>
  <si>
    <t xml:space="preserve">Treat: enhanced logging and periodic access review</t>
  </si>
  <si>
    <t xml:space="preserve">POA&amp;M-006</t>
  </si>
  <si>
    <t xml:space="preserve">RISK-007</t>
  </si>
  <si>
    <t xml:space="preserve">Legacy integration without current encryption</t>
  </si>
  <si>
    <t xml:space="preserve">Accept: scheduled for replacement in FY27</t>
  </si>
  <si>
    <t xml:space="preserve">Accepted</t>
  </si>
  <si>
    <t xml:space="preserve">Treatment Log RT-007</t>
  </si>
  <si>
    <t xml:space="preserve">Summary</t>
  </si>
  <si>
    <t xml:space="preserve">Total risks</t>
  </si>
  <si>
    <t xml:space="preserve">Closed</t>
  </si>
  <si>
    <t xml:space="preserve">Past due for review</t>
  </si>
  <si>
    <t xml:space="preserve">Scope &amp; Boundary</t>
  </si>
  <si>
    <t xml:space="preserve">This register holds enterprise and strategic risks. Assessment findings tracked to closure are recorded in the Risk / Finding Register (POA&amp;M); current treatment state is maintained in the Risk Treatment / Acceptance Decisions Log. Those documents carry the detail; this register references them.</t>
  </si>
  <si>
    <t xml:space="preserve">Likelihood, impact, and rating are scored using the scale defined in the Risk Management Methodology Standard: likelihood from Rare to Almost Certain, impact from Negligible to Severe (against service, data, and life safety), combined into a rating of Low, Moderate, High, or Critical.</t>
  </si>
  <si>
    <t xml:space="preserve">Downstream Use</t>
  </si>
  <si>
    <t xml:space="preserve">This register is the parent risk record. The Risk / Finding Register (POA&amp;M) feeds findings into it, and the Board / Leadership Security Reporting Template rolls it up for leadership.</t>
  </si>
  <si>
    <t xml:space="preserve">Source Authority</t>
  </si>
  <si>
    <t xml:space="preserve">NENA-STA-040.2-2024: §4.3, §4.3.1</t>
  </si>
  <si>
    <t xml:space="preserve">NIST SP 800-53 Rev. 5: CA-5, PM-9, RA-3, RA-7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</si>
  <si>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</si>
  <si>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</si>
  <si>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</si>
  <si>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</si>
  <si>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</si>
  <si>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Executive Director</t>
  </si>
  <si>
    <t xml:space="preserve">Dr. Lisa Park</t>
  </si>
  <si>
    <t xml:space="preserve">2026-01-20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</si>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</sst>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10</xdr:col>
      <xdr:colOff>0</xdr:colOff>
      <xdr:row>0</xdr:row>
      <xdr:rowOff>0</xdr:rowOff>
    </xdr:from>
    <xdr:ext cx="857250" cy="85725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</xdr:col>
      <xdr:colOff>0</xdr:colOff>
      <xdr:row>1</xdr:row>
      <xdr:rowOff>0</xdr:rowOff>
    </xdr:from>
    <xdr:to>
      <xdr:col>4</xdr:col>
      <xdr:colOff>773280</xdr:colOff>
      <xdr:row>10</xdr:row>
      <xdr:rowOff>437760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8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773280</xdr:colOff>
      <xdr:row>29</xdr:row>
      <xdr:rowOff>761400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704880" y="746748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 pitchFamily="0" charset="1"/>
        <a:ea typeface=""/>
        <a:cs typeface=""/>
      </a:majorFont>
      <a:minorFont>
        <a:latin typeface="Aptos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</row>
    <row r="10" customFormat="false" ht="15" hidden="false" customHeight="false" outlineLevel="0" collapsed="false">
      <c r="A10" s="5" t="s">
        <v>12</v>
      </c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39.75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6" t="s">
        <v>19</v>
      </c>
      <c r="H11" s="6" t="s">
        <v>20</v>
      </c>
      <c r="I11" s="6" t="s">
        <v>21</v>
      </c>
      <c r="J11" s="6" t="s">
        <v>22</v>
      </c>
      <c r="K11" s="6" t="s">
        <v>23</v>
      </c>
    </row>
    <row r="12" customFormat="false" ht="51" hidden="false" customHeight="true" outlineLevel="0" collapsed="false">
      <c r="A12" s="7" t="s">
        <v>24</v>
      </c>
      <c r="B12" s="7" t="s">
        <v>25</v>
      </c>
      <c r="C12" s="7" t="s">
        <v>26</v>
      </c>
      <c r="D12" s="7" t="s">
        <v>27</v>
      </c>
      <c r="E12" s="7" t="s">
        <v>28</v>
      </c>
      <c r="F12" s="7" t="s">
        <v>29</v>
      </c>
      <c r="G12" s="7" t="s">
        <v>30</v>
      </c>
      <c r="H12" s="7" t="s">
        <v>5</v>
      </c>
      <c r="I12" s="7" t="s">
        <v>31</v>
      </c>
      <c r="J12" s="7" t="s">
        <v>32</v>
      </c>
      <c r="K12" s="7" t="s">
        <v>33</v>
      </c>
    </row>
    <row r="13" customFormat="false" ht="36" hidden="false" customHeight="true" outlineLevel="0" collapsed="false">
      <c r="A13" s="7" t="s">
        <v>34</v>
      </c>
      <c r="B13" s="7" t="s">
        <v>35</v>
      </c>
      <c r="C13" s="7" t="s">
        <v>36</v>
      </c>
      <c r="D13" s="7" t="s">
        <v>37</v>
      </c>
      <c r="E13" s="7" t="s">
        <v>38</v>
      </c>
      <c r="F13" s="7" t="s">
        <v>29</v>
      </c>
      <c r="G13" s="7" t="s">
        <v>39</v>
      </c>
      <c r="H13" s="7" t="s">
        <v>5</v>
      </c>
      <c r="I13" s="7" t="s">
        <v>31</v>
      </c>
      <c r="J13" s="7" t="s">
        <v>32</v>
      </c>
      <c r="K13" s="7" t="s">
        <v>40</v>
      </c>
    </row>
    <row r="14" customFormat="false" ht="36" hidden="false" customHeight="true" outlineLevel="0" collapsed="false">
      <c r="A14" s="7" t="s">
        <v>41</v>
      </c>
      <c r="B14" s="7" t="s">
        <v>42</v>
      </c>
      <c r="C14" s="7" t="s">
        <v>43</v>
      </c>
      <c r="D14" s="7" t="s">
        <v>37</v>
      </c>
      <c r="E14" s="7" t="s">
        <v>38</v>
      </c>
      <c r="F14" s="7" t="s">
        <v>29</v>
      </c>
      <c r="G14" s="7" t="s">
        <v>44</v>
      </c>
      <c r="H14" s="7" t="s">
        <v>45</v>
      </c>
      <c r="I14" s="7" t="s">
        <v>46</v>
      </c>
      <c r="J14" s="7" t="s">
        <v>32</v>
      </c>
      <c r="K14" s="7" t="s">
        <v>47</v>
      </c>
    </row>
    <row r="15" customFormat="false" ht="36" hidden="false" customHeight="true" outlineLevel="0" collapsed="false">
      <c r="A15" s="7" t="s">
        <v>48</v>
      </c>
      <c r="B15" s="7" t="s">
        <v>49</v>
      </c>
      <c r="C15" s="7" t="s">
        <v>50</v>
      </c>
      <c r="D15" s="7" t="s">
        <v>37</v>
      </c>
      <c r="E15" s="7" t="s">
        <v>38</v>
      </c>
      <c r="F15" s="7" t="s">
        <v>29</v>
      </c>
      <c r="G15" s="7" t="s">
        <v>51</v>
      </c>
      <c r="H15" s="7" t="s">
        <v>5</v>
      </c>
      <c r="I15" s="7" t="s">
        <v>31</v>
      </c>
      <c r="J15" s="7" t="s">
        <v>32</v>
      </c>
      <c r="K15" s="7" t="s">
        <v>52</v>
      </c>
    </row>
    <row r="16" customFormat="false" ht="36" hidden="false" customHeight="true" outlineLevel="0" collapsed="false">
      <c r="A16" s="7" t="s">
        <v>53</v>
      </c>
      <c r="B16" s="7" t="s">
        <v>54</v>
      </c>
      <c r="C16" s="7" t="s">
        <v>55</v>
      </c>
      <c r="D16" s="7" t="s">
        <v>56</v>
      </c>
      <c r="E16" s="7" t="s">
        <v>57</v>
      </c>
      <c r="F16" s="7" t="s">
        <v>29</v>
      </c>
      <c r="G16" s="7" t="s">
        <v>58</v>
      </c>
      <c r="H16" s="7" t="s">
        <v>5</v>
      </c>
      <c r="I16" s="7" t="s">
        <v>31</v>
      </c>
      <c r="J16" s="7" t="s">
        <v>32</v>
      </c>
      <c r="K16" s="7" t="s">
        <v>59</v>
      </c>
    </row>
    <row r="17" customFormat="false" ht="36" hidden="false" customHeight="true" outlineLevel="0" collapsed="false">
      <c r="A17" s="7" t="s">
        <v>60</v>
      </c>
      <c r="B17" s="7" t="s">
        <v>61</v>
      </c>
      <c r="C17" s="7" t="s">
        <v>62</v>
      </c>
      <c r="D17" s="7" t="s">
        <v>27</v>
      </c>
      <c r="E17" s="7" t="s">
        <v>28</v>
      </c>
      <c r="F17" s="7" t="s">
        <v>29</v>
      </c>
      <c r="G17" s="7" t="s">
        <v>63</v>
      </c>
      <c r="H17" s="7" t="s">
        <v>5</v>
      </c>
      <c r="I17" s="7" t="s">
        <v>46</v>
      </c>
      <c r="J17" s="7" t="s">
        <v>32</v>
      </c>
      <c r="K17" s="7" t="s">
        <v>64</v>
      </c>
    </row>
    <row r="18" customFormat="false" ht="36" hidden="false" customHeight="true" outlineLevel="0" collapsed="false">
      <c r="A18" s="7" t="s">
        <v>65</v>
      </c>
      <c r="B18" s="7" t="s">
        <v>66</v>
      </c>
      <c r="C18" s="7" t="s">
        <v>36</v>
      </c>
      <c r="D18" s="7" t="s">
        <v>37</v>
      </c>
      <c r="E18" s="7" t="s">
        <v>57</v>
      </c>
      <c r="F18" s="7" t="s">
        <v>57</v>
      </c>
      <c r="G18" s="7" t="s">
        <v>67</v>
      </c>
      <c r="H18" s="7" t="s">
        <v>45</v>
      </c>
      <c r="I18" s="7" t="s">
        <v>68</v>
      </c>
      <c r="J18" s="7" t="s">
        <v>32</v>
      </c>
      <c r="K18" s="7" t="s">
        <v>69</v>
      </c>
    </row>
    <row r="20" customFormat="false" ht="15" hidden="false" customHeight="false" outlineLevel="0" collapsed="false">
      <c r="A20" s="5" t="s">
        <v>70</v>
      </c>
      <c r="B20" s="5"/>
      <c r="C20" s="5"/>
      <c r="D20" s="5"/>
      <c r="E20" s="5"/>
      <c r="F20" s="5"/>
      <c r="G20" s="5"/>
      <c r="H20" s="5"/>
      <c r="I20" s="5"/>
      <c r="J20" s="5"/>
      <c r="K20" s="5"/>
    </row>
    <row r="21" customFormat="false" ht="15" hidden="false" customHeight="false" outlineLevel="0" collapsed="false">
      <c r="A21" s="8" t="s">
        <v>71</v>
      </c>
      <c r="C21" s="8" t="n">
        <f aca="false">COUNTA(A12:A18)</f>
        <v>7</v>
      </c>
    </row>
    <row r="22" customFormat="false" ht="15" hidden="false" customHeight="false" outlineLevel="0" collapsed="false">
      <c r="A22" s="8" t="s">
        <v>46</v>
      </c>
      <c r="C22" s="8" t="n">
        <f aca="false">COUNTIF(I12:I18,"Open")</f>
        <v>2</v>
      </c>
    </row>
    <row r="23" customFormat="false" ht="15" hidden="false" customHeight="false" outlineLevel="0" collapsed="false">
      <c r="A23" s="8" t="s">
        <v>31</v>
      </c>
      <c r="C23" s="8" t="n">
        <f aca="false">COUNTIF(I12:I18,"Treating")</f>
        <v>4</v>
      </c>
    </row>
    <row r="24" customFormat="false" ht="15" hidden="false" customHeight="false" outlineLevel="0" collapsed="false">
      <c r="A24" s="8" t="s">
        <v>68</v>
      </c>
      <c r="C24" s="8" t="n">
        <f aca="false">COUNTIF(I12:I18,"Accepted")</f>
        <v>1</v>
      </c>
    </row>
    <row r="25" customFormat="false" ht="15" hidden="false" customHeight="false" outlineLevel="0" collapsed="false">
      <c r="A25" s="8" t="s">
        <v>72</v>
      </c>
      <c r="C25" s="8" t="n">
        <f aca="false">COUNTIF(I12:I18,"Closed")</f>
        <v>0</v>
      </c>
    </row>
    <row r="26" customFormat="false" ht="15" hidden="false" customHeight="false" outlineLevel="0" collapsed="false">
      <c r="A26" s="8" t="s">
        <v>73</v>
      </c>
      <c r="C26" s="8" t="n">
        <f aca="true">COUNTIF(J12:J18,"&lt;"&amp;TODAY())</f>
        <v>0</v>
      </c>
    </row>
    <row r="28" customFormat="false" ht="15" hidden="false" customHeight="false" outlineLevel="0" collapsed="false">
      <c r="A28" s="5" t="s">
        <v>74</v>
      </c>
      <c r="B28" s="5"/>
      <c r="C28" s="5"/>
      <c r="D28" s="5"/>
      <c r="E28" s="5"/>
      <c r="F28" s="5"/>
      <c r="G28" s="5"/>
      <c r="H28" s="5"/>
      <c r="I28" s="5"/>
      <c r="J28" s="5"/>
      <c r="K28" s="5"/>
    </row>
    <row r="29" customFormat="false" ht="60" hidden="false" customHeight="true" outlineLevel="0" collapsed="false">
      <c r="A29" s="9" t="s">
        <v>75</v>
      </c>
      <c r="B29" s="9"/>
      <c r="C29" s="9"/>
      <c r="D29" s="9"/>
      <c r="E29" s="9"/>
      <c r="F29" s="9"/>
      <c r="G29" s="9"/>
      <c r="H29" s="9"/>
      <c r="I29" s="9"/>
      <c r="J29" s="9"/>
      <c r="K29" s="9"/>
    </row>
    <row r="30" customFormat="false" ht="60" hidden="false" customHeight="true" outlineLevel="0" collapsed="false">
      <c r="A30" s="9" t="s">
        <v>76</v>
      </c>
      <c r="B30" s="9"/>
      <c r="C30" s="9"/>
      <c r="D30" s="9"/>
      <c r="E30" s="9"/>
      <c r="F30" s="9"/>
      <c r="G30" s="9"/>
      <c r="H30" s="9"/>
      <c r="I30" s="9"/>
      <c r="J30" s="9"/>
      <c r="K30" s="9"/>
    </row>
    <row r="32" customFormat="false" ht="15" hidden="false" customHeight="false" outlineLevel="0" collapsed="false">
      <c r="A32" s="5" t="s">
        <v>77</v>
      </c>
      <c r="B32" s="5"/>
      <c r="C32" s="5"/>
      <c r="D32" s="5"/>
      <c r="E32" s="5"/>
      <c r="F32" s="5"/>
      <c r="G32" s="5"/>
      <c r="H32" s="5"/>
      <c r="I32" s="5"/>
      <c r="J32" s="5"/>
      <c r="K32" s="5"/>
    </row>
    <row r="33" customFormat="false" ht="45" hidden="false" customHeight="true" outlineLevel="0" collapsed="false">
      <c r="A33" s="9" t="s">
        <v>78</v>
      </c>
      <c r="B33" s="9"/>
      <c r="C33" s="9"/>
      <c r="D33" s="9"/>
      <c r="E33" s="9"/>
      <c r="F33" s="9"/>
      <c r="G33" s="9"/>
      <c r="H33" s="9"/>
      <c r="I33" s="9"/>
      <c r="J33" s="9"/>
      <c r="K33" s="9"/>
    </row>
    <row r="35" customFormat="false" ht="15" hidden="false" customHeight="false" outlineLevel="0" collapsed="false">
      <c r="A35" s="5" t="s">
        <v>79</v>
      </c>
      <c r="B35" s="5"/>
      <c r="C35" s="5"/>
      <c r="D35" s="5"/>
      <c r="E35" s="5"/>
      <c r="F35" s="5"/>
      <c r="G35" s="5"/>
      <c r="H35" s="5"/>
      <c r="I35" s="5"/>
      <c r="J35" s="5"/>
      <c r="K35" s="5"/>
    </row>
    <row r="36" customFormat="false" ht="15" hidden="false" customHeight="false" outlineLevel="0" collapsed="false">
      <c r="A36" s="10" t="s">
        <v>80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customFormat="false" ht="15" hidden="false" customHeight="false" outlineLevel="0" collapsed="false">
      <c r="A37" s="10" t="s">
        <v>81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9" customFormat="false" ht="15" hidden="false" customHeight="false" outlineLevel="0" collapsed="false">
      <c r="A39" s="5" t="s">
        <v>82</v>
      </c>
      <c r="B39" s="5"/>
      <c r="C39" s="5"/>
      <c r="D39" s="5"/>
      <c r="E39" s="5"/>
      <c r="F39" s="5"/>
      <c r="G39" s="5"/>
      <c r="H39" s="5"/>
      <c r="I39" s="5"/>
      <c r="J39" s="5"/>
      <c r="K39" s="5"/>
    </row>
    <row r="40" customFormat="false" ht="15" hidden="false" customHeight="false" outlineLevel="0" collapsed="false">
      <c r="A40" s="11" t="s">
        <v>83</v>
      </c>
      <c r="B40" s="11" t="s">
        <v>84</v>
      </c>
      <c r="C40" s="11" t="s">
        <v>85</v>
      </c>
      <c r="D40" s="11" t="s">
        <v>86</v>
      </c>
    </row>
    <row r="41" customFormat="false" ht="25.5" hidden="false" customHeight="true" outlineLevel="0" collapsed="false">
      <c r="A41" s="12" t="s">
        <v>87</v>
      </c>
      <c r="B41" s="12" t="s">
        <v>88</v>
      </c>
      <c r="C41" s="12" t="s">
        <v>88</v>
      </c>
      <c r="D41" s="12" t="s">
        <v>89</v>
      </c>
    </row>
    <row r="42" customFormat="false" ht="25.5" hidden="false" customHeight="true" outlineLevel="0" collapsed="false">
      <c r="A42" s="12" t="s">
        <v>5</v>
      </c>
      <c r="B42" s="12" t="s">
        <v>90</v>
      </c>
      <c r="C42" s="12" t="s">
        <v>90</v>
      </c>
      <c r="D42" s="12" t="s">
        <v>89</v>
      </c>
    </row>
    <row r="44" customFormat="false" ht="15" hidden="false" customHeight="false" outlineLevel="0" collapsed="false">
      <c r="A44" s="5" t="s">
        <v>91</v>
      </c>
      <c r="B44" s="5"/>
      <c r="C44" s="5"/>
      <c r="D44" s="5"/>
      <c r="E44" s="5"/>
      <c r="F44" s="5"/>
      <c r="G44" s="5"/>
      <c r="H44" s="5"/>
      <c r="I44" s="5"/>
      <c r="J44" s="5"/>
      <c r="K44" s="5"/>
    </row>
    <row r="45" customFormat="false" ht="15" hidden="false" customHeight="false" outlineLevel="0" collapsed="false">
      <c r="A45" s="11" t="s">
        <v>92</v>
      </c>
      <c r="B45" s="11" t="s">
        <v>86</v>
      </c>
      <c r="C45" s="11" t="s">
        <v>93</v>
      </c>
      <c r="D45" s="11" t="s">
        <v>94</v>
      </c>
    </row>
    <row r="46" customFormat="false" ht="15" hidden="false" customHeight="false" outlineLevel="0" collapsed="false">
      <c r="A46" s="12" t="s">
        <v>95</v>
      </c>
      <c r="B46" s="12" t="s">
        <v>89</v>
      </c>
      <c r="C46" s="12" t="s">
        <v>5</v>
      </c>
      <c r="D46" s="12" t="s">
        <v>96</v>
      </c>
    </row>
  </sheetData>
  <mergeCells count="24">
    <mergeCell ref="C1:K1"/>
    <mergeCell ref="A2:K2"/>
    <mergeCell ref="A4:B4"/>
    <mergeCell ref="C4:K4"/>
    <mergeCell ref="A5:B5"/>
    <mergeCell ref="C5:K5"/>
    <mergeCell ref="A6:B6"/>
    <mergeCell ref="C6:K6"/>
    <mergeCell ref="A7:B7"/>
    <mergeCell ref="C7:K7"/>
    <mergeCell ref="A8:B8"/>
    <mergeCell ref="C8:K8"/>
    <mergeCell ref="A10:K10"/>
    <mergeCell ref="A20:K20"/>
    <mergeCell ref="A28:K28"/>
    <mergeCell ref="A29:K29"/>
    <mergeCell ref="A30:K30"/>
    <mergeCell ref="A32:K32"/>
    <mergeCell ref="A33:K33"/>
    <mergeCell ref="A35:K35"/>
    <mergeCell ref="A36:K36"/>
    <mergeCell ref="A37:K37"/>
    <mergeCell ref="A39:K39"/>
    <mergeCell ref="A44:K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
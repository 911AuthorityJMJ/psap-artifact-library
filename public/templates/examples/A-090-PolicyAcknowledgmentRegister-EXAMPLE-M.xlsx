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9530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953000" cy="3619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953000" cy="3619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0" customWidth="1" min="2" max="2"/>
    <col width="22" customWidth="1" min="3" max="3"/>
    <col width="30" customWidth="1" min="4" max="4"/>
    <col width="12" customWidth="1" min="5" max="5"/>
    <col width="17" customWidth="1" min="6" max="7"/>
    <col width="15" customWidth="1" min="7" max="7"/>
  </cols>
  <sheetData>
    <row r="1" ht="25.5" customHeight="1">
      <c r="A1" s="21" t="inlineStr">
        <is>
          <t>Wabash Valley Communications   ·   Worked Example   ·   SAMPLE</t>
        </is>
      </c>
    </row>
    <row r="2" ht="15" customHeight="1">
      <c r="A2" s="22" t="inlineStr">
        <is>
          <t>Policy Acknowledgment Register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Wabash Valley Communications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Security Coordinator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1.0      Effective Date 2026-03-01      Next Review 2027-03-01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Confidential / CJIS</t>
        </is>
      </c>
      <c r="D6" s="19" t="n"/>
      <c r="E6" s="19" t="n"/>
      <c r="F6" s="19" t="n"/>
      <c r="G6" s="18" t="n"/>
    </row>
    <row r="7" ht="34.7" customHeight="1">
      <c r="A7" s="8" t="inlineStr">
        <is>
          <t>Review cadence</t>
        </is>
      </c>
      <c r="B7" s="18" t="n"/>
      <c r="C7" s="7" t="inlineStr">
        <is>
          <t>Reviewed at least annually by the Security Coordinator; acknowledgments renewed at least annually and kept current.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27.75" customHeight="1">
      <c r="A10" s="9" t="n"/>
    </row>
    <row r="11" ht="38" customHeight="1">
      <c r="A11" s="11" t="inlineStr">
        <is>
          <t>ID</t>
        </is>
      </c>
      <c r="B11" s="11" t="inlineStr">
        <is>
          <t>Person</t>
        </is>
      </c>
      <c r="C11" s="11" t="inlineStr">
        <is>
          <t>Role / employment type</t>
        </is>
      </c>
      <c r="D11" s="11" t="inlineStr">
        <is>
          <t>Acknowledgments on file</t>
        </is>
      </c>
      <c r="E11" s="11" t="inlineStr">
        <is>
          <t>Status</t>
        </is>
      </c>
      <c r="F11" s="11" t="inlineStr">
        <is>
          <t>Last acknowledged</t>
        </is>
      </c>
      <c r="G11" s="11" t="inlineStr">
        <is>
          <t>Next renewal due</t>
        </is>
      </c>
    </row>
    <row r="12" ht="34" customHeight="1">
      <c r="A12" s="12" t="inlineStr">
        <is>
          <t>001</t>
        </is>
      </c>
      <c r="B12" s="12" t="inlineStr">
        <is>
          <t>Anthony Reyes</t>
        </is>
      </c>
      <c r="C12" s="12" t="inlineStr">
        <is>
          <t>Executive Director (employee)</t>
        </is>
      </c>
      <c r="D12" s="12" t="inlineStr">
        <is>
          <t>AUP v1 (2026-03-01); privileged (2026-03-01)</t>
        </is>
      </c>
      <c r="E12" s="12" t="inlineStr">
        <is>
          <t>Current</t>
        </is>
      </c>
      <c r="F12" s="23">
        <v>46082</v>
      </c>
      <c r="G12" s="23">
        <v>46447</v>
      </c>
    </row>
    <row r="13" ht="34" customHeight="1">
      <c r="A13" s="12" t="inlineStr">
        <is>
          <t>002</t>
        </is>
      </c>
      <c r="B13" s="12" t="inlineStr">
        <is>
          <t>Maria Quinn</t>
        </is>
      </c>
      <c r="C13" s="12" t="inlineStr">
        <is>
          <t>Shift Supervisor (employee)</t>
        </is>
      </c>
      <c r="D13" s="12" t="inlineStr">
        <is>
          <t>AUP v1 (2026-03-01)</t>
        </is>
      </c>
      <c r="E13" s="12" t="inlineStr">
        <is>
          <t>Expiring</t>
        </is>
      </c>
      <c r="F13" s="23">
        <v>45843</v>
      </c>
      <c r="G13" s="23">
        <v>46208</v>
      </c>
    </row>
    <row r="14" ht="34" customHeight="1">
      <c r="A14" s="12" t="inlineStr">
        <is>
          <t>003</t>
        </is>
      </c>
      <c r="B14" s="12" t="inlineStr">
        <is>
          <t>Sam Boykin</t>
        </is>
      </c>
      <c r="C14" s="12" t="inlineStr">
        <is>
          <t>Security Coordinator (employee)</t>
        </is>
      </c>
      <c r="D14" s="12" t="inlineStr">
        <is>
          <t>AUP v1 (2026-03-01); privileged (2026-03-01)</t>
        </is>
      </c>
      <c r="E14" s="12" t="inlineStr">
        <is>
          <t>Current</t>
        </is>
      </c>
      <c r="F14" s="23">
        <v>46082</v>
      </c>
      <c r="G14" s="23">
        <v>46447</v>
      </c>
    </row>
    <row r="15" ht="34" customHeight="1">
      <c r="A15" s="12" t="inlineStr">
        <is>
          <t>004</t>
        </is>
      </c>
      <c r="B15" s="12" t="inlineStr">
        <is>
          <t>Derek Foss</t>
        </is>
      </c>
      <c r="C15" s="12" t="inlineStr">
        <is>
          <t>Dispatcher (employee)</t>
        </is>
      </c>
      <c r="D15" s="12" t="inlineStr">
        <is>
          <t>AUP v1 (2026-02-18); media-handling (2026-02-18)</t>
        </is>
      </c>
      <c r="E15" s="12" t="inlineStr">
        <is>
          <t>Current</t>
        </is>
      </c>
      <c r="F15" s="23">
        <v>46071</v>
      </c>
      <c r="G15" s="23">
        <v>46436</v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2026-07-06)</t>
        </is>
      </c>
    </row>
    <row r="24" ht="15" customHeight="1">
      <c r="A24" s="4" t="inlineStr">
        <is>
          <t>Total people on file</t>
        </is>
      </c>
      <c r="B24" s="20" t="n"/>
      <c r="C24" s="13">
        <f>COUNTA(A12:A21)</f>
      </c>
    </row>
    <row r="25" ht="15" customHeight="1">
      <c r="A25" s="4" t="inlineStr">
        <is>
          <t>Current</t>
        </is>
      </c>
      <c r="B25" s="20" t="n"/>
      <c r="C25" s="13">
        <f>COUNTIF(E12:E21,"Current")</f>
      </c>
    </row>
    <row r="26" ht="15" customHeight="1">
      <c r="A26" s="4" t="inlineStr">
        <is>
          <t>Expiring</t>
        </is>
      </c>
      <c r="B26" s="20" t="n"/>
      <c r="C26" s="13">
        <f>COUNTIF(E12:E21,"Expiring")</f>
      </c>
    </row>
    <row r="27" ht="15" customHeight="1">
      <c r="A27" s="4" t="inlineStr">
        <is>
          <t>Missing</t>
        </is>
      </c>
      <c r="B27" s="20" t="n"/>
      <c r="C27" s="13">
        <f>COUNTIF(E12:E21,"Missing")</f>
      </c>
    </row>
    <row r="28" ht="15" customHeight="1">
      <c r="A28" s="4" t="n"/>
      <c r="B28" s="20" t="n"/>
      <c r="C28" s="13" t="n"/>
    </row>
    <row r="29" ht="15" customHeight="1">
      <c r="A29" s="4" t="inlineStr">
        <is>
          <t>Past due / overdue renewal</t>
        </is>
      </c>
      <c r="B29" s="20" t="n"/>
      <c r="C29" s="13">
        <f>COUNTIF(G12:G21,"&lt;"&amp;DATE(2026,7,6))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§4.1.2, §5.1.1</t>
        </is>
      </c>
    </row>
    <row r="34" ht="15" customHeight="1">
      <c r="A34" s="3" t="inlineStr">
        <is>
          <t>NIST SP 800-53 Rev. 5: AT-4, PL-4, PS-6</t>
        </is>
      </c>
    </row>
    <row r="35" ht="15" customHeight="1">
      <c r="A35" s="3" t="inlineStr">
        <is>
          <t>Indiana statutes and administrative code: 240 IAC 5 (IDACS; where privileged or CJIS acknowledgments are tracked)</t>
        </is>
      </c>
    </row>
    <row r="36" ht="15" customHeight="1">
      <c r="A36" s="3" t="inlineStr">
        <is>
          <t>CJIS Security Policy v5.9: §5.2 (security awareness; where CJIS / IDACS acknowledgments are tracked)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66.4" customHeight="1">
      <c r="A40" s="12" t="inlineStr">
        <is>
          <t>Approving official (Executive Director)</t>
        </is>
      </c>
      <c r="B40" s="15" t="inlineStr">
        <is>
          <t>Anthony Reyes</t>
        </is>
      </c>
      <c r="C40" s="15" t="inlineStr">
        <is>
          <t>(on file)</t>
        </is>
      </c>
      <c r="D40" s="24">
        <v>46082</v>
      </c>
    </row>
    <row r="41" ht="50.5" customHeight="1">
      <c r="A41" s="12" t="inlineStr">
        <is>
          <t>Owner (Security Coordinator)</t>
        </is>
      </c>
      <c r="B41" s="15" t="inlineStr">
        <is>
          <t>Sam Boykin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8" customHeight="1">
      <c r="A45" s="12" t="inlineStr">
        <is>
          <t>1.0</t>
        </is>
      </c>
      <c r="B45" s="23">
        <v>46082</v>
      </c>
      <c r="C45" s="12" t="inlineStr">
        <is>
          <t>Security Coordinator</t>
        </is>
      </c>
      <c r="D45" s="12" t="inlineStr">
        <is>
          <t>Initial issue</t>
        </is>
      </c>
      <c r="E45" s="12" t="n"/>
      <c r="F45" s="12" t="n"/>
      <c r="G45" s="12" t="n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2026-06-19T16:27:35Z</dcterms:modified>
  <cp:lastModifiedBy/>
  <cp:revision>0</cp:revision>
  <dc:title xmlns:dc="http://purl.org/dc/elements/1.1/">Policy Acknowledgment Register - EXAMPLE - M</dc:title>
</cp:coreProperties>
</file>
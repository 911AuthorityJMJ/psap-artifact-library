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0" fontId="4" fillId="0" borderId="1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13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46" customHeight="1">
      <c r="C1" s="1" t="inlineStr">
        <is>
          <t>Hickory County 911   ·   Worked Example</t>
        </is>
      </c>
    </row>
    <row r="2" ht="26" customHeight="1">
      <c r="A2" s="2" t="inlineStr">
        <is>
          <t>Risk / Finding Register (POA&amp;M)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Hickory County 911 under the authority of Tracy Holloway,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5" t="inlineStr">
        <is>
          <t>Director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3" t="inlineStr">
        <is>
          <t>Review cadence</t>
        </is>
      </c>
      <c r="B8" s="4" t="n"/>
      <c r="C8" s="5" t="inlineStr">
        <is>
          <t>Reviewed monthly by the Director; open items tracked to closure.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6" t="inlineStr">
        <is>
          <t>Boundary</t>
        </is>
      </c>
    </row>
    <row r="11" ht="30" customHeight="1">
      <c r="A11" s="7" t="inlineStr">
        <is>
          <t>This register holds findings from assessments, scans, and audits, tracked to closure. Enterprise-level risks are maintained in the Risk Register and cross-referenced in the Risk Register Ref column.</t>
        </is>
      </c>
    </row>
    <row r="12">
      <c r="A12" s="6" t="inlineStr">
        <is>
          <t>Finding Entries</t>
        </is>
      </c>
    </row>
    <row r="13" ht="34.7" customHeight="1">
      <c r="A13" s="8" t="inlineStr">
        <is>
          <t>Finding ID</t>
        </is>
      </c>
      <c r="B13" s="8" t="inlineStr">
        <is>
          <t>Source (type + reference)</t>
        </is>
      </c>
      <c r="C13" s="8" t="inlineStr">
        <is>
          <t>Finding</t>
        </is>
      </c>
      <c r="D13" s="8" t="inlineStr">
        <is>
          <t>Impact Rank</t>
        </is>
      </c>
      <c r="E13" s="8" t="inlineStr">
        <is>
          <t>Risk Register Ref</t>
        </is>
      </c>
      <c r="F13" s="8" t="inlineStr">
        <is>
          <t>Owner (Role)</t>
        </is>
      </c>
      <c r="G13" s="8" t="inlineStr">
        <is>
          <t>Remediation Action</t>
        </is>
      </c>
      <c r="H13" s="8" t="inlineStr">
        <is>
          <t>Due Date</t>
        </is>
      </c>
      <c r="I13" s="8" t="inlineStr">
        <is>
          <t>Status</t>
        </is>
      </c>
      <c r="J13" s="8" t="inlineStr">
        <is>
          <t>Closure Date / Evidence</t>
        </is>
      </c>
    </row>
    <row r="14" ht="50.5" customHeight="1">
      <c r="A14" s="9" t="inlineStr">
        <is>
          <t>F-01</t>
        </is>
      </c>
      <c r="B14" s="9" t="inlineStr">
        <is>
          <t>County IT review 2026-04</t>
        </is>
      </c>
      <c r="C14" s="9" t="inlineStr">
        <is>
          <t>Dispatch workstations missing current OS security patches</t>
        </is>
      </c>
      <c r="D14" s="9" t="inlineStr">
        <is>
          <t>High (service)</t>
        </is>
      </c>
      <c r="E14" s="9" t="inlineStr">
        <is>
          <t>R-03</t>
        </is>
      </c>
      <c r="F14" s="9" t="inlineStr">
        <is>
          <t>County IT</t>
        </is>
      </c>
      <c r="G14" s="9" t="inlineStr">
        <is>
          <t>Enable a monthly patch window with the county IT contact</t>
        </is>
      </c>
      <c r="H14" s="14">
        <v>46203</v>
      </c>
      <c r="I14" s="9" t="inlineStr">
        <is>
          <t>In Progress</t>
        </is>
      </c>
      <c r="J14" s="9" t="inlineStr"/>
    </row>
    <row r="15" ht="50.5" customHeight="1">
      <c r="A15" s="9" t="inlineStr">
        <is>
          <t>F-02</t>
        </is>
      </c>
      <c r="B15" s="9" t="inlineStr">
        <is>
          <t>Self-assessment 2026-03</t>
        </is>
      </c>
      <c r="C15" s="9" t="inlineStr">
        <is>
          <t>No multifactor on remote access to the CAD vendor portal</t>
        </is>
      </c>
      <c r="D15" s="9" t="inlineStr">
        <is>
          <t>High (life-safety)</t>
        </is>
      </c>
      <c r="E15" s="9" t="inlineStr">
        <is>
          <t>R-05</t>
        </is>
      </c>
      <c r="F15" s="9" t="inlineStr">
        <is>
          <t>Director</t>
        </is>
      </c>
      <c r="G15" s="9" t="inlineStr">
        <is>
          <t>Turn on MFA through the CAD vendor</t>
        </is>
      </c>
      <c r="H15" s="14">
        <v>46218</v>
      </c>
      <c r="I15" s="9" t="inlineStr">
        <is>
          <t>Open</t>
        </is>
      </c>
      <c r="J15" s="9" t="inlineStr"/>
    </row>
    <row r="16" ht="50.5" customHeight="1">
      <c r="A16" s="9" t="inlineStr">
        <is>
          <t>F-03</t>
        </is>
      </c>
      <c r="B16" s="9" t="inlineStr">
        <is>
          <t>Self-assessment 2026-03</t>
        </is>
      </c>
      <c r="C16" s="9" t="inlineStr">
        <is>
          <t>Single ISP uplink; no failover path for 9-1-1 delivery</t>
        </is>
      </c>
      <c r="D16" s="9" t="inlineStr">
        <is>
          <t>Medium (service-continuity)</t>
        </is>
      </c>
      <c r="E16" s="9" t="inlineStr">
        <is>
          <t>R-07</t>
        </is>
      </c>
      <c r="F16" s="9" t="inlineStr">
        <is>
          <t>Director</t>
        </is>
      </c>
      <c r="G16" s="9" t="inlineStr">
        <is>
          <t>Price a cellular failover circuit for the budget cycle</t>
        </is>
      </c>
      <c r="H16" s="14">
        <v>46295</v>
      </c>
      <c r="I16" s="9" t="inlineStr">
        <is>
          <t>Open</t>
        </is>
      </c>
      <c r="J16" s="9" t="inlineStr"/>
    </row>
    <row r="17" ht="50.5" customHeight="1">
      <c r="A17" s="9" t="inlineStr">
        <is>
          <t>F-04</t>
        </is>
      </c>
      <c r="B17" s="9" t="inlineStr">
        <is>
          <t>Facility walkthrough 2026-02</t>
        </is>
      </c>
      <c r="C17" s="9" t="inlineStr">
        <is>
          <t>Server closet shared with cleaning supplies; no lock</t>
        </is>
      </c>
      <c r="D17" s="9" t="inlineStr">
        <is>
          <t>Low</t>
        </is>
      </c>
      <c r="E17" s="9" t="inlineStr">
        <is>
          <t>R-09</t>
        </is>
      </c>
      <c r="F17" s="9" t="inlineStr">
        <is>
          <t>Director</t>
        </is>
      </c>
      <c r="G17" s="9" t="inlineStr">
        <is>
          <t>Install a keyed lock; relocate supplies</t>
        </is>
      </c>
      <c r="H17" s="14">
        <v>46173</v>
      </c>
      <c r="I17" s="9" t="inlineStr">
        <is>
          <t>Closed</t>
        </is>
      </c>
      <c r="J17" s="9" t="inlineStr">
        <is>
          <t>2026-05-22; photo and work order on file</t>
        </is>
      </c>
    </row>
    <row r="19">
      <c r="A19" s="6" t="inlineStr">
        <is>
          <t>Status Summary (as of 2026-07-01)</t>
        </is>
      </c>
    </row>
    <row r="20">
      <c r="A20" s="10" t="inlineStr">
        <is>
          <t>Total findings</t>
        </is>
      </c>
      <c r="C20" s="11">
        <f>COUNTA(A14:A17)</f>
      </c>
    </row>
    <row r="21">
      <c r="A21" s="10" t="inlineStr">
        <is>
          <t>Open</t>
        </is>
      </c>
      <c r="C21" s="11">
        <f>COUNTIF(I14:I17,"Open")</f>
      </c>
    </row>
    <row r="22">
      <c r="A22" s="10" t="inlineStr">
        <is>
          <t>In progress</t>
        </is>
      </c>
      <c r="C22" s="11">
        <f>COUNTIF(I14:I17,"In Progress")</f>
      </c>
    </row>
    <row r="23">
      <c r="A23" s="10" t="inlineStr">
        <is>
          <t>Overdue (open / in progress past due)</t>
        </is>
      </c>
      <c r="C23" s="11">
        <f>COUNTIFS(H14:H17,"&lt;"&amp;DATE(2026,7,1),I14:I17,"Open")+COUNTIFS(H14:H17,"&lt;"&amp;DATE(2026,7,1),I14:I17,"In Progress")</f>
      </c>
    </row>
    <row r="24">
      <c r="A24" s="10" t="inlineStr">
        <is>
          <t>Risk accepted</t>
        </is>
      </c>
      <c r="C24" s="11">
        <f>COUNTIF(I14:I17,"Risk Accepted")</f>
      </c>
    </row>
    <row r="25">
      <c r="A25" s="10" t="inlineStr">
        <is>
          <t>Closed</t>
        </is>
      </c>
      <c r="C25" s="11">
        <f>COUNTIF(I14:I17,"Closed")</f>
      </c>
    </row>
    <row r="26">
      <c r="A26" s="6" t="inlineStr">
        <is>
          <t>Source Authority</t>
        </is>
      </c>
    </row>
    <row r="27" ht="30" customHeight="1">
      <c r="A27" s="7" t="inlineStr">
        <is>
          <t>NENA-STA-040.2-2024: §3.2, §4.3, §5.2</t>
        </is>
      </c>
    </row>
    <row r="28" ht="30" customHeight="1">
      <c r="A28" s="7" t="inlineStr">
        <is>
          <t>NIST SP 800-53 Rev. 5: CA-5, CA-7, PM-4, RA-7, SI-2</t>
        </is>
      </c>
    </row>
    <row r="29">
      <c r="A29" s="6" t="inlineStr">
        <is>
          <t>Approval Signatures</t>
        </is>
      </c>
    </row>
    <row r="30">
      <c r="A30" s="12" t="inlineStr">
        <is>
          <t>Role</t>
        </is>
      </c>
      <c r="B30" s="12" t="inlineStr">
        <is>
          <t>Name</t>
        </is>
      </c>
      <c r="C30" s="12" t="inlineStr">
        <is>
          <t>Signature</t>
        </is>
      </c>
      <c r="D30" s="12" t="inlineStr">
        <is>
          <t>Date</t>
        </is>
      </c>
    </row>
    <row r="31" ht="22" customHeight="1">
      <c r="A31" s="13" t="inlineStr">
        <is>
          <t>Director</t>
        </is>
      </c>
      <c r="B31" s="13" t="inlineStr">
        <is>
          <t>Tracy Holloway</t>
        </is>
      </c>
      <c r="C31" s="13" t="inlineStr">
        <is>
          <t>Tracy Holloway</t>
        </is>
      </c>
      <c r="D31" s="15">
        <v>46174</v>
      </c>
    </row>
    <row r="33">
      <c r="A33" s="6" t="inlineStr">
        <is>
          <t>Revision History</t>
        </is>
      </c>
    </row>
    <row r="34" ht="32" customHeight="1">
      <c r="A34" s="8" t="inlineStr">
        <is>
          <t>Version</t>
        </is>
      </c>
      <c r="B34" s="8" t="inlineStr">
        <is>
          <t>Date</t>
        </is>
      </c>
      <c r="C34" s="8" t="inlineStr">
        <is>
          <t>Author</t>
        </is>
      </c>
      <c r="D34" s="8" t="inlineStr">
        <is>
          <t>Summary of Change</t>
        </is>
      </c>
    </row>
    <row r="35" ht="34.7" customHeight="1">
      <c r="A35" s="9" t="inlineStr">
        <is>
          <t>1.0</t>
        </is>
      </c>
      <c r="B35" s="14">
        <v>46174</v>
      </c>
      <c r="C35" s="9" t="inlineStr">
        <is>
          <t>Director</t>
        </is>
      </c>
      <c r="D35" s="9" t="inlineStr">
        <is>
          <t>Initial issue; findings from the 2026 assessment cycle entered</t>
        </is>
      </c>
    </row>
  </sheetData>
  <mergeCells count="27">
    <mergeCell ref="A24:B24"/>
    <mergeCell ref="C6:J6"/>
    <mergeCell ref="A29:J29"/>
    <mergeCell ref="C5:J5"/>
    <mergeCell ref="A10:J10"/>
    <mergeCell ref="A28:J28"/>
    <mergeCell ref="A6:B6"/>
    <mergeCell ref="A19:J19"/>
    <mergeCell ref="C4:J4"/>
    <mergeCell ref="A7:B7"/>
    <mergeCell ref="A25:B25"/>
    <mergeCell ref="C1:J1"/>
    <mergeCell ref="A11:J11"/>
    <mergeCell ref="A21:B21"/>
    <mergeCell ref="A5:B5"/>
    <mergeCell ref="A23:B23"/>
    <mergeCell ref="A8:B8"/>
    <mergeCell ref="A22:B22"/>
    <mergeCell ref="C8:J8"/>
    <mergeCell ref="A4:B4"/>
    <mergeCell ref="A20:B20"/>
    <mergeCell ref="C7:J7"/>
    <mergeCell ref="A27:J27"/>
    <mergeCell ref="A12:J12"/>
    <mergeCell ref="A26:J26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2026-06-04T20:26:32Z</dcterms:created>
  <dcterms:modified xmlns:dcterms="http://purl.org/dc/terms/" xmlns:xsi="http://www.w3.org/2001/XMLSchema-instance" xsi:type="dcterms:W3CDTF">2026-06-04T20:26:32Z</dcterms:modified>
  <dc:title xmlns:dc="http://purl.org/dc/elements/1.1/">Risk / Finding Register (POA&amp;M) - EXAMPLE - S</dc:title>
  <cp:lastModifiedBy/>
</cp:coreProperties>
</file>
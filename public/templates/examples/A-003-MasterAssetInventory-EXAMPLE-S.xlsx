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12" customWidth="1" min="9" max="9"/>
    <col width="14" customWidth="1" min="10" max="10"/>
    <col width="14" customWidth="1" min="11" max="11"/>
  </cols>
  <sheetData>
    <row r="1" ht="46" customHeight="1">
      <c r="C1" s="1" t="inlineStr">
        <is>
          <t>Hickory County 911   ·   Worked Example</t>
        </is>
      </c>
    </row>
    <row r="2" ht="25.5" customHeight="1">
      <c r="A2" s="2" t="inlineStr">
        <is>
          <t>Master Asset Inventory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Hickory County 911 under the authority of Tracy Holloway,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County IT Administrator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1.0      Effective Date 2026-01-15      Next Review 2026-04-15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Maintenance method &amp; cadence</t>
        </is>
      </c>
      <c r="B8" s="4" t="n"/>
      <c r="C8" s="5" t="inlineStr">
        <is>
          <t>Reviewed quarterly by the County IT Administrator. Update method: manual; entries reflect changes within 5 business days.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Register A: Master Asset Register</t>
        </is>
      </c>
    </row>
    <row r="11" ht="42" customHeight="1">
      <c r="A11" s="7" t="inlineStr">
        <is>
          <t>ID</t>
        </is>
      </c>
      <c r="B11" s="7" t="inlineStr">
        <is>
          <t>Asset Name</t>
        </is>
      </c>
      <c r="C11" s="7" t="inlineStr">
        <is>
          <t>Category (HW / SW / Firmware)</t>
        </is>
      </c>
      <c r="D11" s="7" t="inlineStr">
        <is>
          <t>Make / Model</t>
        </is>
      </c>
      <c r="E11" s="7" t="inlineStr">
        <is>
          <t>Version / Firmware</t>
        </is>
      </c>
      <c r="F11" s="7" t="inlineStr">
        <is>
          <t>Owner (Role)</t>
        </is>
      </c>
      <c r="G11" s="7" t="inlineStr">
        <is>
          <t>Location</t>
        </is>
      </c>
      <c r="H11" s="7" t="inlineStr">
        <is>
          <t>Connectivity / Network</t>
        </is>
      </c>
      <c r="I11" s="7" t="inlineStr">
        <is>
          <t>Status</t>
        </is>
      </c>
      <c r="J11" s="7" t="inlineStr">
        <is>
          <t>Last Reviewed</t>
        </is>
      </c>
      <c r="K11" s="7" t="inlineStr">
        <is>
          <t>Next Review Due</t>
        </is>
      </c>
    </row>
    <row r="12" ht="34.7" customHeight="1">
      <c r="A12" s="8" t="inlineStr">
        <is>
          <t>AST-001</t>
        </is>
      </c>
      <c r="B12" s="8" t="inlineStr">
        <is>
          <t>Primary CAD server</t>
        </is>
      </c>
      <c r="C12" s="8" t="inlineStr">
        <is>
          <t>Hardware</t>
        </is>
      </c>
      <c r="D12" s="8" t="inlineStr">
        <is>
          <t>Rackmount server, Vendor A</t>
        </is>
      </c>
      <c r="E12" s="8" t="inlineStr">
        <is>
          <t>App v7.2 / fw 3.1</t>
        </is>
      </c>
      <c r="F12" s="8" t="inlineStr">
        <is>
          <t>County IT Administrator</t>
        </is>
      </c>
      <c r="G12" s="8" t="inlineStr">
        <is>
          <t>Sheriff's Office server closet</t>
        </is>
      </c>
      <c r="H12" s="8" t="inlineStr">
        <is>
          <t>Dispatch VLAN, no internet</t>
        </is>
      </c>
      <c r="I12" s="8" t="inlineStr">
        <is>
          <t>Active</t>
        </is>
      </c>
      <c r="J12" s="14">
        <v>46034</v>
      </c>
      <c r="K12" s="14">
        <v>46124</v>
      </c>
    </row>
    <row r="13" ht="34.7" customHeight="1">
      <c r="A13" s="8" t="inlineStr">
        <is>
          <t>AST-002</t>
        </is>
      </c>
      <c r="B13" s="8" t="inlineStr">
        <is>
          <t>Call-handling workstation 1</t>
        </is>
      </c>
      <c r="C13" s="8" t="inlineStr">
        <is>
          <t>Hardware</t>
        </is>
      </c>
      <c r="D13" s="8" t="inlineStr">
        <is>
          <t>Dispatch workstation, standard build</t>
        </is>
      </c>
      <c r="E13" s="8" t="inlineStr">
        <is>
          <t>OS current build</t>
        </is>
      </c>
      <c r="F13" s="8" t="inlineStr">
        <is>
          <t>County IT Administrator</t>
        </is>
      </c>
      <c r="G13" s="8" t="inlineStr">
        <is>
          <t>Dispatch position 1</t>
        </is>
      </c>
      <c r="H13" s="8" t="inlineStr">
        <is>
          <t>Dispatch VLAN</t>
        </is>
      </c>
      <c r="I13" s="8" t="inlineStr">
        <is>
          <t>Active</t>
        </is>
      </c>
      <c r="J13" s="14">
        <v>46034</v>
      </c>
      <c r="K13" s="14">
        <v>46124</v>
      </c>
    </row>
    <row r="14" ht="34.7" customHeight="1">
      <c r="A14" s="8" t="inlineStr">
        <is>
          <t>AST-003</t>
        </is>
      </c>
      <c r="B14" s="8" t="inlineStr">
        <is>
          <t>Call-handling workstation 2</t>
        </is>
      </c>
      <c r="C14" s="8" t="inlineStr">
        <is>
          <t>Hardware</t>
        </is>
      </c>
      <c r="D14" s="8" t="inlineStr">
        <is>
          <t>Dispatch workstation, standard build</t>
        </is>
      </c>
      <c r="E14" s="8" t="inlineStr">
        <is>
          <t>OS current build</t>
        </is>
      </c>
      <c r="F14" s="8" t="inlineStr">
        <is>
          <t>County IT Administrator</t>
        </is>
      </c>
      <c r="G14" s="8" t="inlineStr">
        <is>
          <t>Dispatch position 2</t>
        </is>
      </c>
      <c r="H14" s="8" t="inlineStr">
        <is>
          <t>Dispatch VLAN</t>
        </is>
      </c>
      <c r="I14" s="8" t="inlineStr">
        <is>
          <t>Active</t>
        </is>
      </c>
      <c r="J14" s="14">
        <v>46034</v>
      </c>
      <c r="K14" s="14">
        <v>46124</v>
      </c>
    </row>
    <row r="15" ht="34.7" customHeight="1">
      <c r="A15" s="8" t="inlineStr">
        <is>
          <t>AST-004</t>
        </is>
      </c>
      <c r="B15" s="8" t="inlineStr">
        <is>
          <t>Mapping / GIS workstation</t>
        </is>
      </c>
      <c r="C15" s="8" t="inlineStr">
        <is>
          <t>Hardware</t>
        </is>
      </c>
      <c r="D15" s="8" t="inlineStr">
        <is>
          <t>Dispatch workstation, standard build</t>
        </is>
      </c>
      <c r="E15" s="8" t="inlineStr">
        <is>
          <t>OS current build</t>
        </is>
      </c>
      <c r="F15" s="8" t="inlineStr">
        <is>
          <t>County IT Administrator</t>
        </is>
      </c>
      <c r="G15" s="8" t="inlineStr">
        <is>
          <t>Dispatch position 1 (shared)</t>
        </is>
      </c>
      <c r="H15" s="8" t="inlineStr">
        <is>
          <t>Dispatch VLAN</t>
        </is>
      </c>
      <c r="I15" s="8" t="inlineStr">
        <is>
          <t>Active</t>
        </is>
      </c>
      <c r="J15" s="14">
        <v>46034</v>
      </c>
      <c r="K15" s="14">
        <v>46124</v>
      </c>
    </row>
    <row r="16" ht="34.7" customHeight="1">
      <c r="A16" s="8" t="inlineStr">
        <is>
          <t>AST-005</t>
        </is>
      </c>
      <c r="B16" s="8" t="inlineStr">
        <is>
          <t>Voice / radio logging recorder</t>
        </is>
      </c>
      <c r="C16" s="8" t="inlineStr">
        <is>
          <t>Hardware</t>
        </is>
      </c>
      <c r="D16" s="8" t="inlineStr">
        <is>
          <t>Logging appliance, Vendor B</t>
        </is>
      </c>
      <c r="E16" s="8" t="inlineStr">
        <is>
          <t>fw 5.4</t>
        </is>
      </c>
      <c r="F16" s="8" t="inlineStr">
        <is>
          <t>County IT Administrator</t>
        </is>
      </c>
      <c r="G16" s="8" t="inlineStr">
        <is>
          <t>Server closet</t>
        </is>
      </c>
      <c r="H16" s="8" t="inlineStr">
        <is>
          <t>Dispatch VLAN</t>
        </is>
      </c>
      <c r="I16" s="8" t="inlineStr">
        <is>
          <t>Active</t>
        </is>
      </c>
      <c r="J16" s="14">
        <v>46034</v>
      </c>
      <c r="K16" s="14">
        <v>46124</v>
      </c>
    </row>
    <row r="17" ht="34.7" customHeight="1">
      <c r="A17" s="8" t="inlineStr">
        <is>
          <t>AST-006</t>
        </is>
      </c>
      <c r="B17" s="8" t="inlineStr">
        <is>
          <t>Dispatch network switch</t>
        </is>
      </c>
      <c r="C17" s="8" t="inlineStr">
        <is>
          <t>Hardware</t>
        </is>
      </c>
      <c r="D17" s="8" t="inlineStr">
        <is>
          <t>Managed switch, Vendor C</t>
        </is>
      </c>
      <c r="E17" s="8" t="inlineStr">
        <is>
          <t>fw 2.8</t>
        </is>
      </c>
      <c r="F17" s="8" t="inlineStr">
        <is>
          <t>County IT Administrator</t>
        </is>
      </c>
      <c r="G17" s="8" t="inlineStr">
        <is>
          <t>Server closet</t>
        </is>
      </c>
      <c r="H17" s="8" t="inlineStr">
        <is>
          <t>Dispatch VLAN</t>
        </is>
      </c>
      <c r="I17" s="8" t="inlineStr">
        <is>
          <t>Active</t>
        </is>
      </c>
      <c r="J17" s="14">
        <v>46034</v>
      </c>
      <c r="K17" s="14">
        <v>46124</v>
      </c>
    </row>
    <row r="18" ht="34.7" customHeight="1">
      <c r="A18" s="8" t="inlineStr">
        <is>
          <t>AST-007</t>
        </is>
      </c>
      <c r="B18" s="8" t="inlineStr">
        <is>
          <t>Firewall / router</t>
        </is>
      </c>
      <c r="C18" s="8" t="inlineStr">
        <is>
          <t>Hardware</t>
        </is>
      </c>
      <c r="D18" s="8" t="inlineStr">
        <is>
          <t>Security appliance, Vendor C</t>
        </is>
      </c>
      <c r="E18" s="8" t="inlineStr">
        <is>
          <t>fw 9.1</t>
        </is>
      </c>
      <c r="F18" s="8" t="inlineStr">
        <is>
          <t>County IT Administrator</t>
        </is>
      </c>
      <c r="G18" s="8" t="inlineStr">
        <is>
          <t>Server closet</t>
        </is>
      </c>
      <c r="H18" s="8" t="inlineStr">
        <is>
          <t>Perimeter</t>
        </is>
      </c>
      <c r="I18" s="8" t="inlineStr">
        <is>
          <t>Active</t>
        </is>
      </c>
      <c r="J18" s="14">
        <v>46034</v>
      </c>
      <c r="K18" s="14">
        <v>46124</v>
      </c>
    </row>
    <row r="19" ht="34.7" customHeight="1">
      <c r="A19" s="8" t="inlineStr">
        <is>
          <t>AST-008</t>
        </is>
      </c>
      <c r="B19" s="8" t="inlineStr">
        <is>
          <t>Uninterruptible power supply</t>
        </is>
      </c>
      <c r="C19" s="8" t="inlineStr">
        <is>
          <t>Hardware</t>
        </is>
      </c>
      <c r="D19" s="8" t="inlineStr">
        <is>
          <t>UPS, Vendor D</t>
        </is>
      </c>
      <c r="E19" s="8" t="inlineStr">
        <is>
          <t>fw 1.6</t>
        </is>
      </c>
      <c r="F19" s="8" t="inlineStr">
        <is>
          <t>County IT Administrator</t>
        </is>
      </c>
      <c r="G19" s="8" t="inlineStr">
        <is>
          <t>Server closet</t>
        </is>
      </c>
      <c r="H19" s="8" t="inlineStr">
        <is>
          <t>Power</t>
        </is>
      </c>
      <c r="I19" s="8" t="inlineStr">
        <is>
          <t>Active</t>
        </is>
      </c>
      <c r="J19" s="14">
        <v>46034</v>
      </c>
      <c r="K19" s="14">
        <v>46124</v>
      </c>
    </row>
    <row r="20" ht="34.7" customHeight="1">
      <c r="A20" s="8" t="inlineStr">
        <is>
          <t>AST-009</t>
        </is>
      </c>
      <c r="B20" s="8" t="inlineStr">
        <is>
          <t>CAD client application</t>
        </is>
      </c>
      <c r="C20" s="8" t="inlineStr">
        <is>
          <t>Software</t>
        </is>
      </c>
      <c r="D20" s="8" t="inlineStr">
        <is>
          <t>CAD vendor application</t>
        </is>
      </c>
      <c r="E20" s="8" t="inlineStr">
        <is>
          <t>v7.2</t>
        </is>
      </c>
      <c r="F20" s="8" t="inlineStr">
        <is>
          <t>County IT Administrator</t>
        </is>
      </c>
      <c r="G20" s="8" t="inlineStr">
        <is>
          <t>Dispatch workstations</t>
        </is>
      </c>
      <c r="H20" s="8" t="inlineStr">
        <is>
          <t>Dispatch VLAN</t>
        </is>
      </c>
      <c r="I20" s="8" t="inlineStr">
        <is>
          <t>Active</t>
        </is>
      </c>
      <c r="J20" s="14">
        <v>46034</v>
      </c>
      <c r="K20" s="14">
        <v>46124</v>
      </c>
    </row>
    <row r="21" ht="34.7" customHeight="1">
      <c r="A21" s="8" t="inlineStr">
        <is>
          <t>AST-010</t>
        </is>
      </c>
      <c r="B21" s="8" t="inlineStr">
        <is>
          <t>ESInet edge device</t>
        </is>
      </c>
      <c r="C21" s="8" t="inlineStr">
        <is>
          <t>Hardware</t>
        </is>
      </c>
      <c r="D21" s="8" t="inlineStr">
        <is>
          <t>Provider-managed edge device</t>
        </is>
      </c>
      <c r="E21" s="8" t="inlineStr">
        <is>
          <t>Provider-managed</t>
        </is>
      </c>
      <c r="F21" s="8" t="inlineStr">
        <is>
          <t>ESInet Provider</t>
        </is>
      </c>
      <c r="G21" s="8" t="inlineStr">
        <is>
          <t>Demarcation point</t>
        </is>
      </c>
      <c r="H21" s="8" t="inlineStr">
        <is>
          <t>ESInet uplink</t>
        </is>
      </c>
      <c r="I21" s="8" t="inlineStr">
        <is>
          <t>Active</t>
        </is>
      </c>
      <c r="J21" s="14">
        <v>46034</v>
      </c>
      <c r="K21" s="14">
        <v>46124</v>
      </c>
    </row>
    <row r="22" ht="34.7" customHeight="1">
      <c r="A22" s="8" t="inlineStr">
        <is>
          <t>AST-011</t>
        </is>
      </c>
      <c r="B22" s="8" t="inlineStr">
        <is>
          <t>Director administrative workstation</t>
        </is>
      </c>
      <c r="C22" s="8" t="inlineStr">
        <is>
          <t>Hardware</t>
        </is>
      </c>
      <c r="D22" s="8" t="inlineStr">
        <is>
          <t>Desktop, standard build</t>
        </is>
      </c>
      <c r="E22" s="8" t="inlineStr">
        <is>
          <t>OS current build</t>
        </is>
      </c>
      <c r="F22" s="8" t="inlineStr">
        <is>
          <t>County IT Administrator</t>
        </is>
      </c>
      <c r="G22" s="8" t="inlineStr">
        <is>
          <t>Director's office</t>
        </is>
      </c>
      <c r="H22" s="8" t="inlineStr">
        <is>
          <t>Admin VLAN</t>
        </is>
      </c>
      <c r="I22" s="8" t="inlineStr">
        <is>
          <t>Active</t>
        </is>
      </c>
      <c r="J22" s="14">
        <v>46034</v>
      </c>
      <c r="K22" s="14">
        <v>46087</v>
      </c>
    </row>
    <row r="23" ht="15" customHeight="1"/>
    <row r="24" ht="15" customHeight="1">
      <c r="A24" s="6" t="inlineStr">
        <is>
          <t>Register B: Endpoint Detail View</t>
        </is>
      </c>
    </row>
    <row r="25" ht="42" customHeight="1">
      <c r="A25" s="7" t="inlineStr">
        <is>
          <t>Endpoint ID</t>
        </is>
      </c>
      <c r="B25" s="7" t="inlineStr">
        <is>
          <t>Device Type</t>
        </is>
      </c>
      <c r="C25" s="7" t="inlineStr">
        <is>
          <t>OS &amp; Version</t>
        </is>
      </c>
      <c r="D25" s="7" t="inlineStr">
        <is>
          <t>Patch Level / Last Patched</t>
        </is>
      </c>
      <c r="E25" s="7" t="inlineStr">
        <is>
          <t>Endpoint Security Agent</t>
        </is>
      </c>
      <c r="F25" s="7" t="inlineStr">
        <is>
          <t>Last Seen / Check-in</t>
        </is>
      </c>
      <c r="G25" s="7" t="inlineStr">
        <is>
          <t>Owner (Role)</t>
        </is>
      </c>
    </row>
    <row r="26" ht="34.7" customHeight="1">
      <c r="A26" s="8" t="inlineStr">
        <is>
          <t>AST-001</t>
        </is>
      </c>
      <c r="B26" s="8" t="inlineStr">
        <is>
          <t>Server</t>
        </is>
      </c>
      <c r="C26" s="8" t="inlineStr">
        <is>
          <t>Server OS, current supported build</t>
        </is>
      </c>
      <c r="D26" s="8" t="inlineStr">
        <is>
          <t>Current / 2026-01-05</t>
        </is>
      </c>
      <c r="E26" s="8" t="inlineStr">
        <is>
          <t>EDR agent (managed)</t>
        </is>
      </c>
      <c r="F26" s="14">
        <v>46034</v>
      </c>
      <c r="G26" s="8" t="inlineStr">
        <is>
          <t>County IT Administrator</t>
        </is>
      </c>
    </row>
    <row r="27" ht="50.5" customHeight="1">
      <c r="A27" s="8" t="inlineStr">
        <is>
          <t>AST-002</t>
        </is>
      </c>
      <c r="B27" s="8" t="inlineStr">
        <is>
          <t>Workstation</t>
        </is>
      </c>
      <c r="C27" s="8" t="inlineStr">
        <is>
          <t>Workstation OS, current supported build</t>
        </is>
      </c>
      <c r="D27" s="8" t="inlineStr">
        <is>
          <t>Current / 2026-01-05</t>
        </is>
      </c>
      <c r="E27" s="8" t="inlineStr">
        <is>
          <t>EDR agent (managed)</t>
        </is>
      </c>
      <c r="F27" s="14">
        <v>46034</v>
      </c>
      <c r="G27" s="8" t="inlineStr">
        <is>
          <t>County IT Administrator</t>
        </is>
      </c>
    </row>
    <row r="28" ht="50.5" customHeight="1">
      <c r="A28" s="8" t="inlineStr">
        <is>
          <t>AST-003</t>
        </is>
      </c>
      <c r="B28" s="8" t="inlineStr">
        <is>
          <t>Workstation</t>
        </is>
      </c>
      <c r="C28" s="8" t="inlineStr">
        <is>
          <t>Workstation OS, current supported build</t>
        </is>
      </c>
      <c r="D28" s="8" t="inlineStr">
        <is>
          <t>Current / 2026-01-05</t>
        </is>
      </c>
      <c r="E28" s="8" t="inlineStr">
        <is>
          <t>EDR agent (managed)</t>
        </is>
      </c>
      <c r="F28" s="14">
        <v>46034</v>
      </c>
      <c r="G28" s="8" t="inlineStr">
        <is>
          <t>County IT Administrator</t>
        </is>
      </c>
    </row>
    <row r="29" ht="50.5" customHeight="1">
      <c r="A29" s="8" t="inlineStr">
        <is>
          <t>AST-004</t>
        </is>
      </c>
      <c r="B29" s="8" t="inlineStr">
        <is>
          <t>Workstation</t>
        </is>
      </c>
      <c r="C29" s="8" t="inlineStr">
        <is>
          <t>Workstation OS, current supported build</t>
        </is>
      </c>
      <c r="D29" s="8" t="inlineStr">
        <is>
          <t>Current / 2026-01-05</t>
        </is>
      </c>
      <c r="E29" s="8" t="inlineStr">
        <is>
          <t>EDR agent (managed)</t>
        </is>
      </c>
      <c r="F29" s="14">
        <v>46033</v>
      </c>
      <c r="G29" s="8" t="inlineStr">
        <is>
          <t>County IT Administrator</t>
        </is>
      </c>
    </row>
    <row r="30" ht="50.5" customHeight="1">
      <c r="A30" s="8" t="inlineStr">
        <is>
          <t>AST-011</t>
        </is>
      </c>
      <c r="B30" s="8" t="inlineStr">
        <is>
          <t>Workstation</t>
        </is>
      </c>
      <c r="C30" s="8" t="inlineStr">
        <is>
          <t>Workstation OS, current supported build</t>
        </is>
      </c>
      <c r="D30" s="8" t="inlineStr">
        <is>
          <t>Current / 2026-01-05</t>
        </is>
      </c>
      <c r="E30" s="8" t="inlineStr">
        <is>
          <t>EDR agent (managed)</t>
        </is>
      </c>
      <c r="F30" s="14">
        <v>46032</v>
      </c>
      <c r="G30" s="8" t="inlineStr">
        <is>
          <t>County IT Administrator</t>
        </is>
      </c>
    </row>
    <row r="31" ht="15" customHeight="1"/>
    <row r="32" ht="15" customHeight="1">
      <c r="A32" s="6" t="inlineStr">
        <is>
          <t>Summary (as of 2026-03-07)</t>
        </is>
      </c>
    </row>
    <row r="33" ht="15" customHeight="1">
      <c r="A33" s="9" t="inlineStr">
        <is>
          <t>Total assets</t>
        </is>
      </c>
      <c r="C33" s="10">
        <f>COUNTA(A12:A22)</f>
      </c>
    </row>
    <row r="34" ht="15" customHeight="1">
      <c r="A34" s="9" t="inlineStr">
        <is>
          <t>Active</t>
        </is>
      </c>
      <c r="C34" s="10">
        <f>COUNTIF(I12:I22,"Active")</f>
      </c>
    </row>
    <row r="35" ht="15" customHeight="1">
      <c r="A35" s="9" t="inlineStr">
        <is>
          <t>Under review</t>
        </is>
      </c>
      <c r="C35" s="10">
        <f>COUNTIF(I12:I22,"Under Review")</f>
      </c>
    </row>
    <row r="36" ht="15" customHeight="1">
      <c r="A36" s="9" t="inlineStr">
        <is>
          <t>Retired</t>
        </is>
      </c>
      <c r="C36" s="10">
        <f>COUNTIF(I12:I22,"Retired")</f>
      </c>
    </row>
    <row r="37" ht="15" customHeight="1">
      <c r="A37" s="9" t="inlineStr">
        <is>
          <t>Decommissioned</t>
        </is>
      </c>
      <c r="C37" s="10">
        <f>COUNTIF(I12:I22,"Decommissioned")</f>
      </c>
    </row>
    <row r="38" ht="15" customHeight="1">
      <c r="A38" s="9" t="inlineStr">
        <is>
          <t>Past due for review</t>
        </is>
      </c>
      <c r="C38" s="10">
        <f>COUNTIF(K12:K22,"&lt;"&amp;DATE(2026,3,7))</f>
      </c>
    </row>
    <row r="39" ht="15" customHeight="1"/>
    <row r="40" ht="15" customHeight="1">
      <c r="A40" s="6" t="inlineStr">
        <is>
          <t>Downstream Use</t>
        </is>
      </c>
    </row>
    <row r="41" ht="30" customHeight="1">
      <c r="A41" s="11" t="inlineStr">
        <is>
          <t>This inventory feeds the Asset Criticality Ranking Matrix, backup scope, logging scope, and encryption decisions. Downstream artifacts inherit its accuracy, so it is kept current.</t>
        </is>
      </c>
    </row>
    <row r="42" ht="15" customHeight="1"/>
    <row r="43" ht="15" customHeight="1">
      <c r="A43" s="6" t="inlineStr">
        <is>
          <t>Source Authority</t>
        </is>
      </c>
    </row>
    <row r="44" ht="15" customHeight="1">
      <c r="A44" s="11" t="inlineStr">
        <is>
          <t>NENA-STA-040.2-2024: §5.4, §5.5</t>
        </is>
      </c>
    </row>
    <row r="45" ht="15" customHeight="1">
      <c r="A45" s="11" t="inlineStr">
        <is>
          <t>NIST SP 800-53 Rev. 5: CM-8, PM-5, SI-2, SI-3</t>
        </is>
      </c>
    </row>
    <row r="46" ht="15" customHeight="1"/>
    <row r="47" ht="15" customHeight="1">
      <c r="A47" s="6" t="inlineStr">
        <is>
          <t>Approval Signatures</t>
        </is>
      </c>
    </row>
    <row r="48" ht="17" customHeight="1">
      <c r="A48" s="7" t="inlineStr">
        <is>
          <t>Role</t>
        </is>
      </c>
      <c r="B48" s="7" t="inlineStr">
        <is>
          <t>Name</t>
        </is>
      </c>
      <c r="C48" s="7" t="inlineStr">
        <is>
          <t>Signature</t>
        </is>
      </c>
      <c r="D48" s="7" t="inlineStr">
        <is>
          <t>Date</t>
        </is>
      </c>
    </row>
    <row r="49" ht="26" customHeight="1">
      <c r="A49" s="12" t="inlineStr">
        <is>
          <t>Director</t>
        </is>
      </c>
      <c r="B49" s="12" t="inlineStr">
        <is>
          <t>Tracy Holloway</t>
        </is>
      </c>
      <c r="C49" s="13" t="inlineStr">
        <is>
          <t>Tracy Holloway</t>
        </is>
      </c>
      <c r="D49" s="15">
        <v>46037</v>
      </c>
    </row>
    <row r="50" ht="26" customHeight="1">
      <c r="A50" s="12" t="inlineStr">
        <is>
          <t>County IT Administrator</t>
        </is>
      </c>
      <c r="B50" s="12" t="inlineStr">
        <is>
          <t>(on file)</t>
        </is>
      </c>
      <c r="C50" s="13" t="inlineStr">
        <is>
          <t>(on file)</t>
        </is>
      </c>
      <c r="D50" s="15">
        <v>46037</v>
      </c>
    </row>
    <row r="51" ht="15" customHeight="1"/>
    <row r="52" ht="15" customHeight="1">
      <c r="A52" s="6" t="inlineStr">
        <is>
          <t>Revision History</t>
        </is>
      </c>
    </row>
    <row r="53" ht="17" customHeight="1">
      <c r="A53" s="7" t="inlineStr">
        <is>
          <t>Version</t>
        </is>
      </c>
      <c r="B53" s="7" t="inlineStr">
        <is>
          <t>Date</t>
        </is>
      </c>
      <c r="C53" s="7" t="inlineStr">
        <is>
          <t>Author</t>
        </is>
      </c>
      <c r="D53" s="7" t="inlineStr">
        <is>
          <t>Summary of Change</t>
        </is>
      </c>
    </row>
    <row r="54" ht="34.7" customHeight="1">
      <c r="A54" s="8" t="inlineStr">
        <is>
          <t>1.0</t>
        </is>
      </c>
      <c r="B54" s="14">
        <v>46037</v>
      </c>
      <c r="C54" s="8" t="inlineStr">
        <is>
          <t>County IT Administrator</t>
        </is>
      </c>
      <c r="D54" s="8" t="inlineStr">
        <is>
          <t>Initial issue</t>
        </is>
      </c>
    </row>
  </sheetData>
  <mergeCells count="22">
    <mergeCell ref="C1:K1"/>
    <mergeCell ref="A24:K24"/>
    <mergeCell ref="A45:K45"/>
    <mergeCell ref="A6:B6"/>
    <mergeCell ref="A7:B7"/>
    <mergeCell ref="A41:K41"/>
    <mergeCell ref="C8:K8"/>
    <mergeCell ref="A44:K44"/>
    <mergeCell ref="C7:K7"/>
    <mergeCell ref="A5:B5"/>
    <mergeCell ref="A2:K2"/>
    <mergeCell ref="A47:K47"/>
    <mergeCell ref="A32:K32"/>
    <mergeCell ref="A8:B8"/>
    <mergeCell ref="C6:K6"/>
    <mergeCell ref="A4:B4"/>
    <mergeCell ref="C5:K5"/>
    <mergeCell ref="A43:K43"/>
    <mergeCell ref="A52:K52"/>
    <mergeCell ref="A10:K10"/>
    <mergeCell ref="C4:K4"/>
    <mergeCell ref="A40:K40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2026-06-03T20:26:36Z</dcterms:created>
  <dcterms:modified xmlns:dcterms="http://purl.org/dc/terms/" xmlns:xsi="http://www.w3.org/2001/XMLSchema-instance" xsi:type="dcterms:W3CDTF">2026-06-03T20:26:36Z</dcterms:modified>
  <dc:title xmlns:dc="http://purl.org/dc/elements/1.1/">Master Asset Inventory - EXAMPLE - S</dc:title>
  <cp:lastModifiedBy/>
</cp:coreProperties>
</file>
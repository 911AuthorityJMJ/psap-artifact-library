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2340" windowHeight="21660" tabRatio="500" firstSheet="0" autoFilterDateGrouping="1"/>
  </bookViews>
  <sheets>
    <sheet xmlns:r="http://schemas.openxmlformats.org/officeDocument/2006/relationships" name="Schedule" sheetId="1" state="visible" r:id="rId1"/>
  </sheets>
  <definedNames>
    <definedName name="_xlnm.Print_Titles" localSheetId="0">Schedule!$10:$10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  <xf applyNumberFormat="1" numFmtId="164" fontId="4" fillId="0" borderId="1" applyAlignment="1" pivotButton="0" quotePrefix="0" xfId="0">
      <alignment horizontal="left" vertical="top" wrapText="1"/>
    </xf>
    <xf applyNumberFormat="1" numFmtId="164" fontId="4" fillId="0" borderId="1" pivotButton="0" quotePrefix="0" xfId="0"/>
    <xf applyNumberFormat="1" numFmtId="164" fontId="10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</row>
      <rowOff>0</rowOff>
    </from>
    <ext cx="4476750" cy="2238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27</row>
      <rowOff>0</rowOff>
    </from>
    <ext cx="4476750" cy="2238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4476750" cy="2238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8"/>
  <sheetViews>
    <sheetView showGridLines="0" tabSelected="1" zoomScaleNormal="100" workbookViewId="0">
      <pane ySplit="10" topLeftCell="A11" activePane="bottomLeft" state="frozen"/>
      <selection pane="bottomLeft" activeCell="A11" sqref="A11"/>
    </sheetView>
  </sheetViews>
  <sheetFormatPr baseColWidth="10" defaultColWidth="8.6640625" defaultRowHeight="15"/>
  <cols>
    <col width="30" customWidth="1" min="1" max="1"/>
    <col width="26" customWidth="1" min="2" max="2"/>
    <col width="18" customWidth="1" min="3" max="3"/>
    <col width="13" customWidth="1" min="4" max="4"/>
    <col width="18" customWidth="1" min="5" max="6"/>
    <col width="13" customWidth="1" min="6" max="6"/>
    <col width="13" customWidth="1" min="7" max="7"/>
  </cols>
  <sheetData>
    <row r="1" ht="25.5" customHeight="1">
      <c r="A1" s="10" t="inlineStr">
        <is>
          <t>Vulnerability Scanning Schedule</t>
        </is>
      </c>
    </row>
    <row r="2" ht="15" customHeight="1">
      <c r="A2" s="9" t="n"/>
    </row>
    <row r="3" ht="34.7" customHeight="1">
      <c r="A3" s="8" t="inlineStr">
        <is>
          <t>Authority</t>
        </is>
      </c>
      <c r="B3" s="22" t="n"/>
      <c r="C3" s="7" t="inlineStr">
        <is>
          <t>Adopted by Wabash Valley Communications under the authority of Anthony Reyes, Director.</t>
        </is>
      </c>
      <c r="D3" s="23" t="n"/>
      <c r="E3" s="23" t="n"/>
      <c r="F3" s="23" t="n"/>
      <c r="G3" s="22" t="n"/>
    </row>
    <row r="4" ht="30" customHeight="1">
      <c r="A4" s="8" t="inlineStr">
        <is>
          <t>Owner</t>
        </is>
      </c>
      <c r="B4" s="22" t="n"/>
      <c r="C4" s="7" t="inlineStr">
        <is>
          <t>Security Coordinator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1.0      Effective Date 2026-01-15      Next Review 2027-01-15</t>
        </is>
      </c>
      <c r="D5" s="23" t="n"/>
      <c r="E5" s="23" t="n"/>
      <c r="F5" s="23" t="n"/>
      <c r="G5" s="22" t="n"/>
    </row>
    <row r="6" ht="32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3" t="n"/>
      <c r="G6" s="22" t="n"/>
    </row>
    <row r="7"/>
    <row r="8" ht="15" customHeight="1">
      <c r="A8" s="5" t="inlineStr">
        <is>
          <t>Schedule</t>
        </is>
      </c>
    </row>
    <row r="9" ht="15" customHeight="1">
      <c r="A9" s="9" t="n"/>
    </row>
    <row r="10" ht="30" customHeight="1">
      <c r="A10" s="11" t="inlineStr">
        <is>
          <t>Scan / assessment activity</t>
        </is>
      </c>
      <c r="B10" s="11" t="inlineStr">
        <is>
          <t>Scope</t>
        </is>
      </c>
      <c r="C10" s="11" t="inlineStr">
        <is>
          <t>Tool / method</t>
        </is>
      </c>
      <c r="D10" s="11" t="inlineStr">
        <is>
          <t>Frequency</t>
        </is>
      </c>
      <c r="E10" s="11" t="inlineStr">
        <is>
          <t>Owner (role)</t>
        </is>
      </c>
      <c r="F10" s="11" t="inlineStr">
        <is>
          <t>Last run</t>
        </is>
      </c>
      <c r="G10" s="24" t="inlineStr">
        <is>
          <t>Next due</t>
        </is>
      </c>
    </row>
    <row r="11" ht="34.7" customHeight="1">
      <c r="A11" s="12" t="inlineStr">
        <is>
          <t>Automated vulnerability scan</t>
        </is>
      </c>
      <c r="B11" s="12" t="inlineStr">
        <is>
          <t>All servers, workstations, network (both sites)</t>
        </is>
      </c>
      <c r="C11" s="12" t="inlineStr">
        <is>
          <t>Vendor scanner</t>
        </is>
      </c>
      <c r="D11" s="12" t="inlineStr">
        <is>
          <t>Monthly</t>
        </is>
      </c>
      <c r="E11" s="12" t="inlineStr">
        <is>
          <t>Security Coordinator</t>
        </is>
      </c>
      <c r="F11" s="26">
        <v>46201</v>
      </c>
      <c r="G11" s="28">
        <v>46231</v>
      </c>
    </row>
    <row r="12" ht="34.7" customHeight="1">
      <c r="A12" s="12" t="inlineStr">
        <is>
          <t>Authenticated / credentialed scan</t>
        </is>
      </c>
      <c r="B12" s="12" t="inlineStr">
        <is>
          <t>Critical systems: dual CAD, call-handling</t>
        </is>
      </c>
      <c r="C12" s="12" t="inlineStr">
        <is>
          <t>Vendor scanner</t>
        </is>
      </c>
      <c r="D12" s="12" t="inlineStr">
        <is>
          <t>Monthly</t>
        </is>
      </c>
      <c r="E12" s="12" t="inlineStr">
        <is>
          <t>Security Coordinator</t>
        </is>
      </c>
      <c r="F12" s="26">
        <v>46201</v>
      </c>
      <c r="G12" s="28">
        <v>46231</v>
      </c>
    </row>
    <row r="13" ht="34.7" customHeight="1">
      <c r="A13" s="12" t="inlineStr">
        <is>
          <t>Penetration test (independent assessor)</t>
        </is>
      </c>
      <c r="B13" s="12" t="inlineStr">
        <is>
          <t>Public-safety systems in scope</t>
        </is>
      </c>
      <c r="C13" s="12" t="inlineStr">
        <is>
          <t>Third-party assessor</t>
        </is>
      </c>
      <c r="D13" s="12" t="inlineStr">
        <is>
          <t>Annually</t>
        </is>
      </c>
      <c r="E13" s="12" t="inlineStr">
        <is>
          <t>Director</t>
        </is>
      </c>
      <c r="F13" s="26">
        <v>45920</v>
      </c>
      <c r="G13" s="28">
        <v>46285</v>
      </c>
    </row>
    <row r="14" ht="34.7" customHeight="1">
      <c r="A14" s="12" t="inlineStr">
        <is>
          <t>Independent control assessment</t>
        </is>
      </c>
      <c r="B14" s="12" t="inlineStr">
        <is>
          <t>Assessment scope per risk review</t>
        </is>
      </c>
      <c r="C14" s="12" t="inlineStr">
        <is>
          <t>Contracted assessor</t>
        </is>
      </c>
      <c r="D14" s="12" t="inlineStr">
        <is>
          <t>Annually</t>
        </is>
      </c>
      <c r="E14" s="12" t="inlineStr">
        <is>
          <t>Security Coordinator</t>
        </is>
      </c>
      <c r="F14" s="26">
        <v>45920</v>
      </c>
      <c r="G14" s="28">
        <v>46141</v>
      </c>
    </row>
    <row r="15" ht="19.5" customHeight="1">
      <c r="A15" s="12" t="n"/>
      <c r="B15" s="12" t="n"/>
      <c r="C15" s="12" t="n"/>
      <c r="D15" s="12" t="n"/>
      <c r="E15" s="12" t="n"/>
      <c r="F15" s="12" t="n"/>
      <c r="G15" s="21" t="n"/>
    </row>
    <row r="16" ht="19.5" customHeight="1">
      <c r="A16" s="12" t="n"/>
      <c r="B16" s="12" t="n"/>
      <c r="C16" s="12" t="n"/>
      <c r="D16" s="12" t="n"/>
      <c r="E16" s="12" t="n"/>
      <c r="F16" s="12" t="n"/>
      <c r="G16" s="21" t="n"/>
    </row>
    <row r="17" ht="19.5" customHeight="1">
      <c r="A17" s="12" t="n"/>
      <c r="B17" s="12" t="n"/>
      <c r="C17" s="12" t="n"/>
      <c r="D17" s="12" t="n"/>
      <c r="E17" s="12" t="n"/>
      <c r="F17" s="12" t="n"/>
      <c r="G17" s="21" t="n"/>
    </row>
    <row r="18" ht="19.5" customHeight="1">
      <c r="A18" s="12" t="n"/>
      <c r="B18" s="12" t="n"/>
      <c r="C18" s="12" t="n"/>
      <c r="D18" s="12" t="n"/>
      <c r="E18" s="12" t="n"/>
      <c r="F18" s="12" t="n"/>
      <c r="G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21" t="n"/>
    </row>
    <row r="21"/>
    <row r="22" ht="15" customHeight="1">
      <c r="A22" s="5" t="inlineStr">
        <is>
          <t>Summary (as of 2026-04-30)</t>
        </is>
      </c>
    </row>
    <row r="23" ht="15" customHeight="1">
      <c r="A23" s="4" t="inlineStr">
        <is>
          <t>Items tracked</t>
        </is>
      </c>
      <c r="B23" s="25" t="n"/>
      <c r="C23" s="13">
        <f>COUNTA(A11:A20)</f>
      </c>
    </row>
    <row r="24" ht="15" customHeight="1">
      <c r="A24" s="4" t="inlineStr">
        <is>
          <t>Past due (by next-due date)</t>
        </is>
      </c>
      <c r="B24" s="25" t="n"/>
      <c r="C24" s="13">
        <f>COUNTIF(G11:G20,"&lt;"&amp;DATE(2026,4,30))</f>
      </c>
    </row>
    <row r="25" ht="15" customHeight="1">
      <c r="A25" s="4" t="n"/>
      <c r="B25" s="25" t="n"/>
      <c r="C25" s="13" t="n"/>
    </row>
    <row r="26"/>
    <row r="27" ht="15" customHeight="1">
      <c r="A27" s="5" t="inlineStr">
        <is>
          <t>Escalation for Missed Items</t>
        </is>
      </c>
    </row>
    <row r="28" ht="15" customHeight="1">
      <c r="A28" s="9" t="n"/>
    </row>
    <row r="29" ht="50.5" customHeight="1">
      <c r="A29" s="3" t="inlineStr">
        <is>
          <t>When a scan or assessment is past due, the Security Coordinator is notified and the item is completed or rescheduled within 5 business days. Findings from every scan and assessment are recorded in the Vulnerability Assessment Reports and tracked to closure in the Risk / Finding Register.</t>
        </is>
      </c>
    </row>
    <row r="30"/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§5.2</t>
        </is>
      </c>
    </row>
    <row r="34" ht="15" customHeight="1">
      <c r="A34" s="3" t="inlineStr">
        <is>
          <t>NIST SP 800-53 Rev. 5: CA-2, CA-8, RA-5</t>
        </is>
      </c>
    </row>
    <row r="35" ht="15" customHeight="1">
      <c r="A35" s="3" t="n"/>
    </row>
    <row r="36" ht="15" customHeight="1">
      <c r="A36" s="3" t="n"/>
    </row>
    <row r="37"/>
    <row r="38"/>
    <row r="39" ht="15" customHeight="1">
      <c r="A39" s="5" t="inlineStr">
        <is>
          <t>Approval</t>
        </is>
      </c>
    </row>
    <row r="40" ht="17" customHeight="1">
      <c r="A40" s="11" t="inlineStr">
        <is>
          <t>Role</t>
        </is>
      </c>
      <c r="B40" s="11" t="inlineStr">
        <is>
          <t>Name</t>
        </is>
      </c>
      <c r="C40" s="11" t="inlineStr">
        <is>
          <t>Signature</t>
        </is>
      </c>
      <c r="D40" s="11" t="inlineStr">
        <is>
          <t>Date</t>
        </is>
      </c>
      <c r="E40" s="14" t="n"/>
      <c r="F40" s="14" t="n"/>
    </row>
    <row r="41" ht="17" customHeight="1">
      <c r="A41" s="12" t="inlineStr">
        <is>
          <t>Security Coordinator</t>
        </is>
      </c>
      <c r="B41" s="15" t="inlineStr">
        <is>
          <t>Dana Mercer</t>
        </is>
      </c>
      <c r="C41" s="15" t="inlineStr">
        <is>
          <t>/s/ Dana Mercer</t>
        </is>
      </c>
      <c r="D41" s="27">
        <v>46037</v>
      </c>
      <c r="E41" s="15" t="n"/>
      <c r="F41" s="15" t="n"/>
    </row>
    <row r="42" ht="17" customHeight="1">
      <c r="A42" s="12" t="inlineStr">
        <is>
          <t>Director</t>
        </is>
      </c>
      <c r="B42" s="15" t="inlineStr">
        <is>
          <t>Anthony Reyes</t>
        </is>
      </c>
      <c r="C42" s="15" t="inlineStr">
        <is>
          <t>/s/ Anthony Reyes</t>
        </is>
      </c>
      <c r="D42" s="27">
        <v>46037</v>
      </c>
      <c r="E42" s="15" t="n"/>
      <c r="F42" s="15" t="n"/>
    </row>
    <row r="43"/>
    <row r="44" ht="15" customHeight="1">
      <c r="A44" s="5" t="inlineStr">
        <is>
          <t>Revision History</t>
        </is>
      </c>
    </row>
    <row r="45" ht="34" customHeight="1">
      <c r="A45" s="11" t="inlineStr">
        <is>
          <t>Version</t>
        </is>
      </c>
      <c r="B45" s="11" t="inlineStr">
        <is>
          <t>Date</t>
        </is>
      </c>
      <c r="C45" s="11" t="inlineStr">
        <is>
          <t>Author</t>
        </is>
      </c>
      <c r="D45" s="11" t="inlineStr">
        <is>
          <t>Summary of Change</t>
        </is>
      </c>
      <c r="E45" s="14" t="n"/>
      <c r="F45" s="14" t="n"/>
    </row>
    <row r="46" ht="34.7" customHeight="1">
      <c r="A46" s="12" t="inlineStr">
        <is>
          <t>1.0</t>
        </is>
      </c>
      <c r="B46" s="26">
        <v>46037</v>
      </c>
      <c r="C46" s="12" t="inlineStr">
        <is>
          <t>Security Coordinator</t>
        </is>
      </c>
      <c r="D46" s="12" t="inlineStr">
        <is>
          <t>Initial issue</t>
        </is>
      </c>
      <c r="E46" s="12" t="n"/>
      <c r="F46" s="12" t="n"/>
    </row>
    <row r="47"/>
    <row r="48">
      <c r="A48"/>
    </row>
  </sheetData>
  <mergeCells count="27">
    <mergeCell ref="A32:G32"/>
    <mergeCell ref="A24:B24"/>
    <mergeCell ref="C6:G6"/>
    <mergeCell ref="A8:G8"/>
    <mergeCell ref="A22:G22"/>
    <mergeCell ref="A35:G35"/>
    <mergeCell ref="C5:G5"/>
    <mergeCell ref="A29:G29"/>
    <mergeCell ref="A6:B6"/>
    <mergeCell ref="A28:G28"/>
    <mergeCell ref="A44:G44"/>
    <mergeCell ref="C4:G4"/>
    <mergeCell ref="A9:G9"/>
    <mergeCell ref="A25:B25"/>
    <mergeCell ref="A31:G31"/>
    <mergeCell ref="A39:G39"/>
    <mergeCell ref="A34:G34"/>
    <mergeCell ref="A3:B3"/>
    <mergeCell ref="A36:G36"/>
    <mergeCell ref="A1:G1"/>
    <mergeCell ref="A5:B5"/>
    <mergeCell ref="A23:B23"/>
    <mergeCell ref="A4:B4"/>
    <mergeCell ref="A27:G27"/>
    <mergeCell ref="A2:G2"/>
    <mergeCell ref="A33:G33"/>
    <mergeCell ref="C3:G3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2026-06-01T15:30:56Z</dcterms:created>
  <dcterms:modified xmlns:dcterms="http://purl.org/dc/terms/" xmlns:xsi="http://www.w3.org/2001/XMLSchema-instance" xsi:type="dcterms:W3CDTF">2026-07-13T14:32:24Z</dcterms:modified>
  <cp:lastModifiedBy/>
  <cp:revision>0</cp:revision>
  <dc:title xmlns:dc="http://purl.org/dc/elements/1.1/">Vulnerability Scanning Schedule - EXAMPLE - M</dc:title>
</cp:coreProperties>
</file>
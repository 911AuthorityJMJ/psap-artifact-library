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" sqref="A1:G1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Certificate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Tracy Holloway,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County IT Contact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      Effective Date 2026-02-16      Next Review 2027-02-16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quarterly by the County IT Contact; entries kept current as certificates are issued, renewed, or retired.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inlineStr"/>
    </row>
    <row r="11" ht="30" customHeight="1">
      <c r="A11" s="11" t="inlineStr">
        <is>
          <t>Cert ID</t>
        </is>
      </c>
      <c r="B11" s="11" t="inlineStr">
        <is>
          <t>Subject / System</t>
        </is>
      </c>
      <c r="C11" s="11" t="inlineStr">
        <is>
          <t>Issuer / CA</t>
        </is>
      </c>
      <c r="D11" s="11" t="inlineStr">
        <is>
          <t>Type (public CA / internal CA / self-signed)</t>
        </is>
      </c>
      <c r="E11" s="11" t="inlineStr">
        <is>
          <t>Issue Date</t>
        </is>
      </c>
      <c r="F11" s="11" t="inlineStr">
        <is>
          <t>Expiration Date</t>
        </is>
      </c>
      <c r="G11" s="11" t="inlineStr">
        <is>
          <t>Days to Expiry / Renewal Trigger</t>
        </is>
      </c>
      <c r="H11" s="24" t="inlineStr">
        <is>
          <t>Self-signed Exception (justification)</t>
        </is>
      </c>
      <c r="I11" s="24" t="inlineStr">
        <is>
          <t>Owner (Role)</t>
        </is>
      </c>
      <c r="J11" s="24" t="inlineStr">
        <is>
          <t>DR Availability</t>
        </is>
      </c>
    </row>
    <row r="12" ht="19.5" customHeight="1">
      <c r="A12" s="12" t="inlineStr">
        <is>
          <t>CERT-01</t>
        </is>
      </c>
      <c r="B12" s="12" t="inlineStr">
        <is>
          <t>CAD web console</t>
        </is>
      </c>
      <c r="C12" s="12" t="inlineStr">
        <is>
          <t>Internal CA</t>
        </is>
      </c>
      <c r="D12" s="12" t="inlineStr">
        <is>
          <t>Internal CA</t>
        </is>
      </c>
      <c r="E12" s="26" t="n">
        <v>46027</v>
      </c>
      <c r="F12" s="26" t="n">
        <v>46392</v>
      </c>
      <c r="G12" s="12" t="inlineStr">
        <is>
          <t>30-day reminder</t>
        </is>
      </c>
      <c r="H12" s="21" t="inlineStr">
        <is>
          <t>n/a</t>
        </is>
      </c>
      <c r="I12" s="21" t="inlineStr">
        <is>
          <t>County IT Contact</t>
        </is>
      </c>
      <c r="J12" s="21" t="inlineStr">
        <is>
          <t>Backed up to cloud</t>
        </is>
      </c>
    </row>
    <row r="13" ht="19.5" customHeight="1">
      <c r="A13" s="12" t="inlineStr">
        <is>
          <t>CERT-02</t>
        </is>
      </c>
      <c r="B13" s="12" t="inlineStr">
        <is>
          <t>IT admin portal</t>
        </is>
      </c>
      <c r="C13" s="12" t="inlineStr">
        <is>
          <t>Self-signed</t>
        </is>
      </c>
      <c r="D13" s="12" t="inlineStr">
        <is>
          <t>Self-signed</t>
        </is>
      </c>
      <c r="E13" s="26" t="n">
        <v>45992</v>
      </c>
      <c r="F13" s="26" t="n">
        <v>46357</v>
      </c>
      <c r="G13" s="12" t="inlineStr">
        <is>
          <t>30-day reminder</t>
        </is>
      </c>
      <c r="H13" s="21" t="inlineStr">
        <is>
          <t>Legacy internal tool; replacement planned</t>
        </is>
      </c>
      <c r="I13" s="21" t="inlineStr">
        <is>
          <t>County IT Contact</t>
        </is>
      </c>
      <c r="J13" s="21" t="inlineStr">
        <is>
          <t>Backed up to cloud</t>
        </is>
      </c>
    </row>
    <row r="14" ht="19.5" customHeight="1">
      <c r="A14" s="12" t="inlineStr">
        <is>
          <t>CERT-03</t>
        </is>
      </c>
      <c r="B14" s="12" t="inlineStr">
        <is>
          <t>Recorder web UI</t>
        </is>
      </c>
      <c r="C14" s="12" t="inlineStr">
        <is>
          <t>Internal CA</t>
        </is>
      </c>
      <c r="D14" s="12" t="inlineStr">
        <is>
          <t>Internal CA</t>
        </is>
      </c>
      <c r="E14" s="26" t="n">
        <v>46054</v>
      </c>
      <c r="F14" s="26" t="n">
        <v>46419</v>
      </c>
      <c r="G14" s="12" t="inlineStr">
        <is>
          <t>30-day reminder</t>
        </is>
      </c>
      <c r="H14" s="21" t="inlineStr">
        <is>
          <t>n/a</t>
        </is>
      </c>
      <c r="I14" s="21" t="inlineStr">
        <is>
          <t>County IT Contact</t>
        </is>
      </c>
      <c r="J14" s="21" t="inlineStr">
        <is>
          <t>Backed up to cloud</t>
        </is>
      </c>
    </row>
    <row r="15" ht="19.5" customHeight="1">
      <c r="A15" s="12" t="n"/>
      <c r="B15" s="12" t="n"/>
      <c r="C15" s="12" t="n"/>
      <c r="D15" s="12" t="n"/>
      <c r="E15" s="12" t="n"/>
      <c r="F15" s="12" t="n"/>
      <c r="G15" s="12" t="n"/>
      <c r="H15" s="21" t="n"/>
      <c r="I15" s="21" t="n"/>
      <c r="J15" s="21" t="n"/>
    </row>
    <row r="16" ht="19.5" customHeight="1">
      <c r="A16" s="12" t="n"/>
      <c r="B16" s="12" t="n"/>
      <c r="C16" s="12" t="n"/>
      <c r="D16" s="12" t="n"/>
      <c r="E16" s="12" t="n"/>
      <c r="F16" s="12" t="n"/>
      <c r="G16" s="12" t="n"/>
      <c r="H16" s="21" t="n"/>
      <c r="I16" s="21" t="n"/>
      <c r="J16" s="21" t="n"/>
    </row>
    <row r="17" ht="19.5" customHeight="1">
      <c r="A17" s="12" t="n"/>
      <c r="B17" s="12" t="n"/>
      <c r="C17" s="12" t="n"/>
      <c r="D17" s="12" t="n"/>
      <c r="E17" s="12" t="n"/>
      <c r="F17" s="12" t="n"/>
      <c r="G17" s="12" t="n"/>
      <c r="H17" s="21" t="n"/>
      <c r="I17" s="21" t="n"/>
      <c r="J17" s="21" t="n"/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  <c r="H18" s="21" t="n"/>
      <c r="I18" s="21" t="n"/>
      <c r="J18" s="21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  <c r="H19" s="21" t="n"/>
      <c r="I19" s="21" t="n"/>
      <c r="J19" s="21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  <c r="H20" s="21" t="n"/>
      <c r="I20" s="21" t="n"/>
      <c r="J20" s="21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  <c r="H21" s="21" t="n"/>
      <c r="I21" s="21" t="n"/>
      <c r="J21" s="21" t="n"/>
    </row>
    <row r="22"/>
    <row r="23" ht="15" customHeight="1">
      <c r="A23" s="5" t="inlineStr">
        <is>
          <t>Summary</t>
        </is>
      </c>
    </row>
    <row r="24" ht="15" customHeight="1">
      <c r="A24" s="4" t="inlineStr">
        <is>
          <t>Total certificates</t>
        </is>
      </c>
      <c r="B24" s="25" t="n"/>
      <c r="C24" s="13">
        <f>COUNTA(A12:A21)</f>
        <v/>
      </c>
    </row>
    <row r="25" ht="15" customHeight="1">
      <c r="A25" s="4" t="inlineStr">
        <is>
          <t>Expiring within 30 days</t>
        </is>
      </c>
      <c r="B25" s="25" t="n"/>
      <c r="C25" s="13">
        <f>COUNTIFS(F12:F21,"&gt;="&amp;TODAY(),F12:F21,"&lt;="&amp;(TODAY()+30))</f>
        <v/>
      </c>
    </row>
    <row r="26" ht="15" customHeight="1">
      <c r="A26" s="4" t="inlineStr">
        <is>
          <t>Expiring within 60 days</t>
        </is>
      </c>
      <c r="B26" s="25" t="n"/>
      <c r="C26" s="13">
        <f>COUNTIFS(F12:F21,"&gt;="&amp;TODAY(),F12:F21,"&lt;="&amp;(TODAY()+60))</f>
        <v/>
      </c>
    </row>
    <row r="27" ht="15" customHeight="1">
      <c r="A27" s="4" t="inlineStr">
        <is>
          <t>Self-signed exceptions</t>
        </is>
      </c>
      <c r="B27" s="25" t="n"/>
      <c r="C27" s="13">
        <f>COUNTIF(D12:D21,"*self-signed*")</f>
        <v/>
      </c>
    </row>
    <row r="28" ht="15" customHeight="1">
      <c r="A28" s="4" t="inlineStr">
        <is>
          <t>Without DR backup</t>
        </is>
      </c>
      <c r="B28" s="25" t="n"/>
      <c r="C28" s="13">
        <f>COUNTIF(J12:J21,"None")</f>
        <v/>
      </c>
    </row>
    <row r="29" ht="15" customHeight="1">
      <c r="A29" s="4" t="inlineStr">
        <is>
          <t>Expired / past due</t>
        </is>
      </c>
      <c r="B29" s="25" t="n"/>
      <c r="C29" s="13">
        <f>COUNTIF(F12:F21,"&lt;"&amp;TODAY())</f>
        <v/>
      </c>
    </row>
    <row r="30"/>
    <row r="31" ht="15" customHeight="1">
      <c r="A31" s="5" t="inlineStr">
        <is>
          <t>Source Authority</t>
        </is>
      </c>
    </row>
    <row r="32" ht="15" customHeight="1">
      <c r="A32" s="9" t="inlineStr"/>
    </row>
    <row r="33" ht="15" customHeight="1">
      <c r="A33" s="3" t="inlineStr">
        <is>
          <t>NENA-STA-040.2-2024: §6.23.2, §6.23.3, §6.23.5, §6.23.8</t>
        </is>
      </c>
    </row>
    <row r="34" ht="15" customHeight="1">
      <c r="A34" s="3" t="inlineStr">
        <is>
          <t>NIST SP 800-53 Rev. 5: IA-5, SC-12, SC-17</t>
        </is>
      </c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15" t="inlineStr">
        <is>
          <t>2026-02-16</t>
        </is>
      </c>
    </row>
    <row r="41" ht="34" customHeight="1">
      <c r="A41" s="12" t="inlineStr">
        <is>
          <t>County IT Contact</t>
        </is>
      </c>
      <c r="B41" s="15" t="inlineStr">
        <is>
          <t>Marcus Reed</t>
        </is>
      </c>
      <c r="C41" s="15" t="inlineStr">
        <is>
          <t>/s/ Marcus Reed</t>
        </is>
      </c>
      <c r="D41" s="15" t="inlineStr">
        <is>
          <t>2026-02-16</t>
        </is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</t>
        </is>
      </c>
      <c r="B45" s="12" t="inlineStr">
        <is>
          <t>2026-02-16</t>
        </is>
      </c>
      <c r="C45" s="12" t="inlineStr">
        <is>
          <t>Marcus Reed</t>
        </is>
      </c>
      <c r="D45" s="12" t="inlineStr">
        <is>
          <t>Initial adoption</t>
        </is>
      </c>
      <c r="E45" s="12" t="n"/>
      <c r="F45" s="12" t="n"/>
      <c r="G45" s="12" t="n"/>
    </row>
    <row r="46"/>
    <row r="47" ht="30" customHeight="1">
      <c r="A47" s="2" t="n"/>
    </row>
  </sheetData>
  <mergeCells count="30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A47:G47"/>
    <mergeCell ref="C3:G3"/>
    <mergeCell ref="A23:G23"/>
  </mergeCells>
  <dataValidations count="1">
    <dataValidation sqref="E12:E21" showDropDown="0" showInputMessage="0" showErrorMessage="0" allowBlank="1" promptTitle="Status" prompt="Select a status" type="list">
      <formula1>"Active,Under Review,Retired,Decommissioned"</formula1>
      <formula2>0</formula2>
    </dataValidation>
  </dataValidation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2026-07-14T16:18:19Z</dcterms:modified>
  <cp:lastModifiedBy>Jason Jeffares</cp:lastModifiedBy>
  <cp:revision>0</cp:revision>
</cp:coreProperties>
</file>
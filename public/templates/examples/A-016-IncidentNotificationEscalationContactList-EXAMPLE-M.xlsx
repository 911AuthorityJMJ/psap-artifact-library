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6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2" pivotButton="0" quotePrefix="0" xfId="0"/>
    <xf numFmtId="164" fontId="10" fillId="0" borderId="7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6" customWidth="1" min="2" max="2"/>
    <col width="22" customWidth="1" min="3" max="3"/>
    <col width="22" customWidth="1" min="4" max="4"/>
    <col width="14" customWidth="1" min="5" max="5"/>
    <col width="13" customWidth="1" min="6" max="7"/>
    <col width="18" customWidth="1" min="7" max="7"/>
    <col width="14" customWidth="1" min="8" max="8"/>
  </cols>
  <sheetData>
    <row r="1" ht="25.5" customHeight="1">
      <c r="A1" s="10" t="inlineStr">
        <is>
          <t>Incident Notification &amp; Escalation Contact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Director Anthony Reyes.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2026-01-19      Next Review 2027-01-19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 / CJIS</t>
        </is>
      </c>
      <c r="D6" s="23" t="n"/>
      <c r="E6" s="23" t="n"/>
      <c r="F6" s="23" t="n"/>
      <c r="G6" s="23" t="n"/>
      <c r="H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annually by the Security Coordinator; each contact and the escalation order are re-confirmed whenever staff, vendors, or reporting contacts change.</t>
        </is>
      </c>
      <c r="D7" s="23" t="n"/>
      <c r="E7" s="23" t="n"/>
      <c r="F7" s="23" t="n"/>
      <c r="G7" s="23" t="n"/>
      <c r="H7" s="22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24" t="inlineStr">
        <is>
          <t>ID</t>
        </is>
      </c>
      <c r="B11" s="24" t="inlineStr">
        <is>
          <t>Contact (Party &amp; Role)</t>
        </is>
      </c>
      <c r="C11" s="24" t="inlineStr">
        <is>
          <t>Primary Contact</t>
        </is>
      </c>
      <c r="D11" s="24" t="inlineStr">
        <is>
          <t>Alternate Contact</t>
        </is>
      </c>
      <c r="E11" s="24" t="inlineStr">
        <is>
          <t>Triggers at Tier</t>
        </is>
      </c>
      <c r="F11" s="24" t="inlineStr">
        <is>
          <t>Escalation Order</t>
        </is>
      </c>
      <c r="G11" s="24" t="inlineStr">
        <is>
          <t>Availability</t>
        </is>
      </c>
      <c r="H11" s="24" t="inlineStr">
        <is>
          <t>Last Verified</t>
        </is>
      </c>
    </row>
    <row r="12" ht="34.7" customHeight="1">
      <c r="A12" s="25" t="inlineStr">
        <is>
          <t>CN-001</t>
        </is>
      </c>
      <c r="B12" s="25" t="inlineStr">
        <is>
          <t>Director, Anthony Reyes</t>
        </is>
      </c>
      <c r="C12" s="25" t="inlineStr">
        <is>
          <t>Office + cell (on file)</t>
        </is>
      </c>
      <c r="D12" s="25" t="inlineStr">
        <is>
          <t>-</t>
        </is>
      </c>
      <c r="E12" s="25" t="inlineStr">
        <is>
          <t>All tiers</t>
        </is>
      </c>
      <c r="F12" s="25" t="inlineStr">
        <is>
          <t>1</t>
        </is>
      </c>
      <c r="G12" s="25" t="inlineStr">
        <is>
          <t>Business hrs + on-call</t>
        </is>
      </c>
      <c r="H12" s="27" t="n">
        <v>46034</v>
      </c>
    </row>
    <row r="13" ht="34.7" customHeight="1">
      <c r="A13" s="25" t="inlineStr">
        <is>
          <t>CN-002</t>
        </is>
      </c>
      <c r="B13" s="25" t="inlineStr">
        <is>
          <t>Security Coordinator, Dana Mercer</t>
        </is>
      </c>
      <c r="C13" s="25" t="inlineStr">
        <is>
          <t>Cell (on file)</t>
        </is>
      </c>
      <c r="D13" s="25" t="inlineStr">
        <is>
          <t>-</t>
        </is>
      </c>
      <c r="E13" s="25" t="inlineStr">
        <is>
          <t>All tiers</t>
        </is>
      </c>
      <c r="F13" s="25" t="inlineStr">
        <is>
          <t>2</t>
        </is>
      </c>
      <c r="G13" s="25" t="inlineStr">
        <is>
          <t>On-call rotation</t>
        </is>
      </c>
      <c r="H13" s="27" t="n">
        <v>46034</v>
      </c>
    </row>
    <row r="14" ht="34.7" customHeight="1">
      <c r="A14" s="25" t="inlineStr">
        <is>
          <t>CN-003</t>
        </is>
      </c>
      <c r="B14" s="25" t="inlineStr">
        <is>
          <t>County IT, Priya Nair</t>
        </is>
      </c>
      <c r="C14" s="25" t="inlineStr">
        <is>
          <t>Cell (on file)</t>
        </is>
      </c>
      <c r="D14" s="25" t="inlineStr">
        <is>
          <t>County IT help desk</t>
        </is>
      </c>
      <c r="E14" s="25" t="inlineStr">
        <is>
          <t>Sev 1-3</t>
        </is>
      </c>
      <c r="F14" s="25" t="inlineStr">
        <is>
          <t>3</t>
        </is>
      </c>
      <c r="G14" s="25" t="inlineStr">
        <is>
          <t>Business hrs + on-call</t>
        </is>
      </c>
      <c r="H14" s="27" t="n">
        <v>46034</v>
      </c>
    </row>
    <row r="15" ht="34.7" customHeight="1">
      <c r="A15" s="25" t="inlineStr">
        <is>
          <t>CN-004</t>
        </is>
      </c>
      <c r="B15" s="25" t="inlineStr">
        <is>
          <t>Managed security service (SOC)</t>
        </is>
      </c>
      <c r="C15" s="25" t="inlineStr">
        <is>
          <t>24x7 SOC line</t>
        </is>
      </c>
      <c r="D15" s="25" t="inlineStr">
        <is>
          <t>Account manager (on file)</t>
        </is>
      </c>
      <c r="E15" s="25" t="inlineStr">
        <is>
          <t>Sev 1-2</t>
        </is>
      </c>
      <c r="F15" s="25" t="inlineStr">
        <is>
          <t>4</t>
        </is>
      </c>
      <c r="G15" s="25" t="inlineStr">
        <is>
          <t>24x7 per contract</t>
        </is>
      </c>
      <c r="H15" s="27" t="n">
        <v>46034</v>
      </c>
    </row>
    <row r="16" ht="34.7" customHeight="1">
      <c r="A16" s="25" t="inlineStr">
        <is>
          <t>CN-005</t>
        </is>
      </c>
      <c r="B16" s="25" t="inlineStr">
        <is>
          <t>CAD vendor support (primary/secondary nodes)</t>
        </is>
      </c>
      <c r="C16" s="25" t="inlineStr">
        <is>
          <t>24x7 support line</t>
        </is>
      </c>
      <c r="D16" s="25" t="inlineStr">
        <is>
          <t>Account rep (on file)</t>
        </is>
      </c>
      <c r="E16" s="25" t="inlineStr">
        <is>
          <t>Sev 1-2</t>
        </is>
      </c>
      <c r="F16" s="25" t="inlineStr">
        <is>
          <t>5</t>
        </is>
      </c>
      <c r="G16" s="25" t="inlineStr">
        <is>
          <t>24x7 per contract</t>
        </is>
      </c>
      <c r="H16" s="27" t="n">
        <v>45780</v>
      </c>
    </row>
    <row r="17" ht="34.7" customHeight="1">
      <c r="A17" s="25" t="inlineStr">
        <is>
          <t>CN-006</t>
        </is>
      </c>
      <c r="B17" s="25" t="inlineStr">
        <is>
          <t>ESInet providers (A and B) NOC</t>
        </is>
      </c>
      <c r="C17" s="25" t="inlineStr">
        <is>
          <t>24x7 NOC lines</t>
        </is>
      </c>
      <c r="D17" s="25" t="inlineStr">
        <is>
          <t>-</t>
        </is>
      </c>
      <c r="E17" s="25" t="inlineStr">
        <is>
          <t>Sev 1-2</t>
        </is>
      </c>
      <c r="F17" s="25" t="inlineStr">
        <is>
          <t>6</t>
        </is>
      </c>
      <c r="G17" s="25" t="inlineStr">
        <is>
          <t>24x7</t>
        </is>
      </c>
      <c r="H17" s="27" t="n">
        <v>46034</v>
      </c>
    </row>
    <row r="18" ht="34.7" customHeight="1">
      <c r="A18" s="25" t="inlineStr">
        <is>
          <t>CN-007</t>
        </is>
      </c>
      <c r="B18" s="25" t="inlineStr">
        <is>
          <t>Indiana Office of Technology (IOT), IN-ISAC</t>
        </is>
      </c>
      <c r="C18" s="25" t="inlineStr">
        <is>
          <t>IN-ISAC reporting portal</t>
        </is>
      </c>
      <c r="D18" s="25" t="inlineStr">
        <is>
          <t>IOT duty officer</t>
        </is>
      </c>
      <c r="E18" s="25" t="inlineStr">
        <is>
          <t>Sev 1</t>
        </is>
      </c>
      <c r="F18" s="25" t="inlineStr">
        <is>
          <t>7</t>
        </is>
      </c>
      <c r="G18" s="25" t="inlineStr">
        <is>
          <t>Per HEA 1169</t>
        </is>
      </c>
      <c r="H18" s="27" t="n">
        <v>46034</v>
      </c>
    </row>
    <row r="19" ht="34.7" customHeight="1">
      <c r="A19" s="25" t="inlineStr">
        <is>
          <t>CN-008</t>
        </is>
      </c>
      <c r="B19" s="25" t="inlineStr">
        <is>
          <t>State 911 Board; FBI / CISA</t>
        </is>
      </c>
      <c r="C19" s="25" t="inlineStr">
        <is>
          <t>Board contact; FBI IC3 / CISA report</t>
        </is>
      </c>
      <c r="D19" s="25" t="inlineStr">
        <is>
          <t>-</t>
        </is>
      </c>
      <c r="E19" s="25" t="inlineStr">
        <is>
          <t>Sev 1</t>
        </is>
      </c>
      <c r="F19" s="25" t="inlineStr">
        <is>
          <t>8</t>
        </is>
      </c>
      <c r="G19" s="25" t="inlineStr">
        <is>
          <t>Business hrs; 24x7 report</t>
        </is>
      </c>
      <c r="H19" s="27" t="n">
        <v>46034</v>
      </c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5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5" t="n"/>
    </row>
    <row r="23" ht="15" customHeight="1">
      <c r="A23" s="5" t="inlineStr">
        <is>
          <t>Summary (as of 2026-05-04)</t>
        </is>
      </c>
    </row>
    <row r="24" ht="15" customHeight="1">
      <c r="A24" s="4" t="inlineStr">
        <is>
          <t>Total contacts listed</t>
        </is>
      </c>
      <c r="B24" s="26" t="n"/>
      <c r="C24" s="13">
        <f>COUNTA(A12:A21)</f>
      </c>
    </row>
    <row r="25" ht="15" customHeight="1">
      <c r="A25" s="4" t="inlineStr">
        <is>
          <t>Verified in the last 12 months</t>
        </is>
      </c>
      <c r="B25" s="26" t="n"/>
      <c r="C25" s="13">
        <f>COUNTIFS(A12:A21,"&lt;&gt;",H12:H21,"&gt;="&amp;(DATE(2026,5,4)-365))</f>
      </c>
    </row>
    <row r="26" ht="15" customHeight="1">
      <c r="A26" s="4" t="inlineStr">
        <is>
          <t>Overdue for verification</t>
        </is>
      </c>
      <c r="B26" s="26" t="n"/>
      <c r="C26" s="13">
        <f>COUNTIFS(A12:A21,"&lt;&gt;",H12:H21,"&lt;"&amp;(DATE(2026,5,4)-365))</f>
      </c>
    </row>
    <row r="27" ht="15" customHeight="1">
      <c r="A27" s="4" t="inlineStr">
        <is>
          <t>Awaiting first verification</t>
        </is>
      </c>
      <c r="B27" s="26" t="n"/>
      <c r="C27" s="13">
        <f>COUNTIFS(A12:A21,"&lt;&gt;",H12:H21,"")</f>
      </c>
    </row>
    <row r="28" ht="15" customHeight="1">
      <c r="A28" s="4" t="n"/>
      <c r="B28" s="26" t="n"/>
      <c r="C28" s="13" t="n"/>
    </row>
    <row r="29" ht="15" customHeight="1">
      <c r="A29" s="4" t="n"/>
      <c r="B29" s="26" t="n"/>
      <c r="C29" s="13" t="n"/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§5.6.5 (Incident Detection and Response)</t>
        </is>
      </c>
    </row>
    <row r="34" ht="15" customHeight="1">
      <c r="A34" s="3" t="inlineStr">
        <is>
          <t>NIST SP 800-53 Rev. 5: IR-4, IR-6, IR-7</t>
        </is>
      </c>
    </row>
    <row r="35" ht="15" customHeight="1">
      <c r="A35" s="3" t="inlineStr">
        <is>
          <t>Indiana statutes and administrative code: HEA 1169 (2021): Cyber Incident Reporting to IOT; IC 24-4.9: Data Breach Notification</t>
        </is>
      </c>
    </row>
    <row r="36" ht="15" customHeight="1">
      <c r="A36" s="3" t="inlineStr">
        <is>
          <t>CJIS Security Policy v5.9: §5.3 (Incident Response) (CJIS-regulated data in scope,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911 Director</t>
        </is>
      </c>
      <c r="B40" s="15" t="inlineStr">
        <is>
          <t>Anthony Reyes</t>
        </is>
      </c>
      <c r="C40" s="15" t="inlineStr">
        <is>
          <t>/s/ Anthony Reyes</t>
        </is>
      </c>
      <c r="D40" s="29">
        <v>46041</v>
      </c>
    </row>
    <row r="41" ht="34" customHeight="1">
      <c r="A41" s="12" t="inlineStr">
        <is>
          <t>Security Coordinator</t>
        </is>
      </c>
      <c r="B41" s="15" t="inlineStr">
        <is>
          <t>Dana Mercer</t>
        </is>
      </c>
      <c r="C41" s="15" t="inlineStr">
        <is>
          <t>/s/ Dana Mercer</t>
        </is>
      </c>
      <c r="D41" s="29">
        <v>46041</v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8">
        <v>46041</v>
      </c>
      <c r="C45" s="12" t="inlineStr">
        <is>
          <t>Security Coordinator</t>
        </is>
      </c>
      <c r="D45" s="12" t="inlineStr">
        <is>
          <t>Initial issue</t>
        </is>
      </c>
      <c r="E45" s="12" t="n"/>
      <c r="F45" s="12" t="n"/>
      <c r="G45" s="12" t="n"/>
    </row>
    <row r="47">
      <c r="A47"/>
    </row>
  </sheetData>
  <mergeCells count="29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2026-07-09T18:15:13Z</dcterms:modified>
  <cp:lastModifiedBy/>
  <cp:revision>0</cp:revision>
  <dc:title xmlns:dc="http://purl.org/dc/elements/1.1/">Incident Notification &amp; Escalation Contact List - EXAMPLE - M</dc:title>
</cp:coreProperties>
</file>
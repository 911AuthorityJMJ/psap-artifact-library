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Approved List" sheetId="1" state="visible" r:id="rId1"/>
    <sheet xmlns:r="http://schemas.openxmlformats.org/officeDocument/2006/relationships" name="Deviation Log" sheetId="2" state="visible" r:id="rId2"/>
  </sheets>
  <definedNames>
    <definedName name="_xlnm.Print_Titles" localSheetId="0">'Approved List'!$11:$11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4" borderId="0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22" customWidth="1" min="2" max="2"/>
    <col width="22" customWidth="1" min="3" max="3"/>
    <col width="20" customWidth="1" min="4" max="4"/>
    <col width="16" customWidth="1" min="5" max="5"/>
    <col width="18" customWidth="1" min="6" max="7"/>
    <col width="22" customWidth="1" min="7" max="7"/>
    <col width="15" customWidth="1" min="8" max="8"/>
  </cols>
  <sheetData>
    <row r="1" ht="25.5" customHeight="1">
      <c r="A1" s="10" t="inlineStr">
        <is>
          <t>Approved Vendor / Product List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Hickory County 911 under the authority of the Director.</t>
        </is>
      </c>
      <c r="D3" s="23" t="n"/>
      <c r="E3" s="23" t="n"/>
      <c r="F3" s="23" t="n"/>
      <c r="G3" s="23" t="n"/>
      <c r="H3" s="22" t="n"/>
    </row>
    <row r="4" ht="15" customHeight="1">
      <c r="A4" s="8" t="inlineStr">
        <is>
          <t>Owner</t>
        </is>
      </c>
      <c r="B4" s="22" t="n"/>
      <c r="C4" s="7" t="inlineStr">
        <is>
          <t>County IT</t>
        </is>
      </c>
      <c r="D4" s="23" t="n"/>
      <c r="E4" s="23" t="n"/>
      <c r="F4" s="23" t="n"/>
      <c r="G4" s="23" t="n"/>
      <c r="H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2026-03-01      Next Review 2027-03-01</t>
        </is>
      </c>
      <c r="D5" s="23" t="n"/>
      <c r="E5" s="23" t="n"/>
      <c r="F5" s="23" t="n"/>
      <c r="G5" s="23" t="n"/>
      <c r="H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3" t="n"/>
      <c r="H6" s="22" t="n"/>
    </row>
    <row r="7" ht="34.7" customHeight="1">
      <c r="A7" s="8" t="inlineStr">
        <is>
          <t>Review cadence</t>
        </is>
      </c>
      <c r="B7" s="22" t="n"/>
      <c r="C7" s="7" t="inlineStr">
        <is>
          <t>Reviewed at least annually by the County IT. A new approval requires a completed Vendor Security Assessment Questionnaire; any purchase outside this list is logged on the Deviation Log tab with its rationale.</t>
        </is>
      </c>
      <c r="D7" s="23" t="n"/>
      <c r="E7" s="23" t="n"/>
      <c r="F7" s="23" t="n"/>
      <c r="G7" s="23" t="n"/>
      <c r="H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11" t="inlineStr">
        <is>
          <t>ID</t>
        </is>
      </c>
      <c r="B11" s="11" t="inlineStr">
        <is>
          <t>Vendor / Supplier</t>
        </is>
      </c>
      <c r="C11" s="11" t="inlineStr">
        <is>
          <t>Product / Model</t>
        </is>
      </c>
      <c r="D11" s="11" t="inlineStr">
        <is>
          <t>Category (critical technology)</t>
        </is>
      </c>
      <c r="E11" s="11" t="inlineStr">
        <is>
          <t>Approval Status</t>
        </is>
      </c>
      <c r="F11" s="11" t="inlineStr">
        <is>
          <t>Approved By (Role)</t>
        </is>
      </c>
      <c r="G11" s="11" t="inlineStr">
        <is>
          <t>Security Assessment Ref</t>
        </is>
      </c>
      <c r="H11" s="24" t="inlineStr">
        <is>
          <t>Next Review Due</t>
        </is>
      </c>
    </row>
    <row r="12" ht="28" customHeight="1">
      <c r="A12" s="12" t="inlineStr">
        <is>
          <t>VP-001</t>
        </is>
      </c>
      <c r="B12" s="12" t="inlineStr">
        <is>
          <t>ProCAD Systems</t>
        </is>
      </c>
      <c r="C12" s="12" t="inlineStr">
        <is>
          <t>CAD Suite v7</t>
        </is>
      </c>
      <c r="D12" s="12" t="inlineStr">
        <is>
          <t>CAD</t>
        </is>
      </c>
      <c r="E12" s="12" t="inlineStr">
        <is>
          <t>Approved</t>
        </is>
      </c>
      <c r="F12" s="12" t="inlineStr">
        <is>
          <t>Director</t>
        </is>
      </c>
      <c r="G12" s="12" t="inlineStr">
        <is>
          <t>VSA-2025-09</t>
        </is>
      </c>
      <c r="H12" s="29">
        <v>46266</v>
      </c>
    </row>
    <row r="13" ht="34.7" customHeight="1">
      <c r="A13" s="12" t="inlineStr">
        <is>
          <t>VP-002</t>
        </is>
      </c>
      <c r="B13" s="12" t="inlineStr">
        <is>
          <t>Lumen</t>
        </is>
      </c>
      <c r="C13" s="12" t="inlineStr">
        <is>
          <t>ESInet circuit</t>
        </is>
      </c>
      <c r="D13" s="12" t="inlineStr">
        <is>
          <t>Network</t>
        </is>
      </c>
      <c r="E13" s="12" t="inlineStr">
        <is>
          <t>Approved</t>
        </is>
      </c>
      <c r="F13" s="12" t="inlineStr">
        <is>
          <t>Director</t>
        </is>
      </c>
      <c r="G13" s="12" t="inlineStr">
        <is>
          <t>SOC 2 reviewed 2025-08</t>
        </is>
      </c>
      <c r="H13" s="29">
        <v>46235</v>
      </c>
    </row>
    <row r="14" ht="19.5" customHeight="1">
      <c r="A14" s="12" t="inlineStr">
        <is>
          <t>VP-003</t>
        </is>
      </c>
      <c r="B14" s="12" t="inlineStr">
        <is>
          <t>CrowdStrike</t>
        </is>
      </c>
      <c r="C14" s="12" t="inlineStr">
        <is>
          <t>Falcon Go</t>
        </is>
      </c>
      <c r="D14" s="12" t="inlineStr">
        <is>
          <t>Endpoint</t>
        </is>
      </c>
      <c r="E14" s="12" t="inlineStr">
        <is>
          <t>Approved</t>
        </is>
      </c>
      <c r="F14" s="12" t="inlineStr">
        <is>
          <t>County IT</t>
        </is>
      </c>
      <c r="G14" s="12" t="inlineStr">
        <is>
          <t>VSA-2025-10</t>
        </is>
      </c>
      <c r="H14" s="29">
        <v>46296</v>
      </c>
    </row>
    <row r="15" ht="19.5" customHeight="1">
      <c r="A15" s="12" t="inlineStr">
        <is>
          <t>VP-004</t>
        </is>
      </c>
      <c r="B15" s="12" t="inlineStr">
        <is>
          <t>Dell</t>
        </is>
      </c>
      <c r="C15" s="12" t="inlineStr">
        <is>
          <t>PowerEdge R750</t>
        </is>
      </c>
      <c r="D15" s="12" t="inlineStr">
        <is>
          <t>Server</t>
        </is>
      </c>
      <c r="E15" s="12" t="inlineStr">
        <is>
          <t>Approved</t>
        </is>
      </c>
      <c r="F15" s="12" t="inlineStr">
        <is>
          <t>County IT</t>
        </is>
      </c>
      <c r="G15" s="12" t="inlineStr">
        <is>
          <t>Vendor brief 2025-07</t>
        </is>
      </c>
      <c r="H15" s="29">
        <v>46204</v>
      </c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</row>
    <row r="22"/>
    <row r="23" ht="15" customHeight="1">
      <c r="A23" s="5" t="inlineStr">
        <is>
          <t>Summary (as of 2026-07-02)</t>
        </is>
      </c>
    </row>
    <row r="24" ht="15" customHeight="1">
      <c r="A24" s="4" t="inlineStr">
        <is>
          <t>Total entries</t>
        </is>
      </c>
      <c r="B24" s="25" t="n"/>
      <c r="C24" s="13">
        <f>COUNTA(A12:A21)</f>
      </c>
    </row>
    <row r="25" ht="15" customHeight="1">
      <c r="A25" s="4" t="inlineStr">
        <is>
          <t>Approved</t>
        </is>
      </c>
      <c r="B25" s="25" t="n"/>
      <c r="C25" s="13">
        <f>COUNTIF(E12:E21,"Approved")</f>
      </c>
    </row>
    <row r="26" ht="15" customHeight="1">
      <c r="A26" s="4" t="inlineStr">
        <is>
          <t>Under review</t>
        </is>
      </c>
      <c r="B26" s="25" t="n"/>
      <c r="C26" s="13">
        <f>COUNTIF(E12:E21,"Under Review")</f>
      </c>
    </row>
    <row r="27" ht="15" customHeight="1">
      <c r="A27" s="4" t="inlineStr">
        <is>
          <t>Provisional</t>
        </is>
      </c>
      <c r="B27" s="25" t="n"/>
      <c r="C27" s="13">
        <f>COUNTIF(E12:E21,"Provisional")</f>
      </c>
    </row>
    <row r="28" ht="15" customHeight="1">
      <c r="A28" s="4" t="inlineStr">
        <is>
          <t>Retired</t>
        </is>
      </c>
      <c r="B28" s="25" t="n"/>
      <c r="C28" s="13">
        <f>COUNTIF(E12:E21,"Retired")</f>
      </c>
    </row>
    <row r="29" ht="15" customHeight="1">
      <c r="A29" s="4" t="inlineStr">
        <is>
          <t>Past due for review</t>
        </is>
      </c>
      <c r="B29" s="25" t="n"/>
      <c r="C29" s="13">
        <f>COUNTIF(H12:H21,"&lt;"&amp;DATE(2026,7,2))</f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§4.1.2 (Policies); §5.2 (Security Assessments)</t>
        </is>
      </c>
    </row>
    <row r="34" ht="15" customHeight="1">
      <c r="A34" s="3" t="inlineStr">
        <is>
          <t>NIST SP 800-53 Rev. 5: SA-4, SR-3, SR-5, SR-6, SR-11</t>
        </is>
      </c>
    </row>
    <row r="35" ht="15" customHeight="1">
      <c r="A35" s="3" t="inlineStr">
        <is>
          <t>CJIS Security Policy v5.9: §5.1 (where an approved supplier manages CJIS-regulated systems)</t>
        </is>
      </c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Tracy Holloway</t>
        </is>
      </c>
      <c r="C40" s="15" t="inlineStr">
        <is>
          <t>/s/ Tracy Holloway</t>
        </is>
      </c>
      <c r="D40" s="28">
        <v>46083</v>
      </c>
    </row>
    <row r="41" ht="34" customHeight="1">
      <c r="A41" s="12" t="inlineStr">
        <is>
          <t>County IT</t>
        </is>
      </c>
      <c r="B41" s="15" t="inlineStr">
        <is>
          <t>Marcus Reed</t>
        </is>
      </c>
      <c r="C41" s="15" t="inlineStr">
        <is>
          <t>/s/ Marcus Reed</t>
        </is>
      </c>
      <c r="D41" s="28">
        <v>46083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7">
        <v>46082</v>
      </c>
      <c r="C45" s="12" t="inlineStr">
        <is>
          <t>County IT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9">
    <mergeCell ref="A9:H9"/>
    <mergeCell ref="A24:B24"/>
    <mergeCell ref="A36:H36"/>
    <mergeCell ref="A1:H1"/>
    <mergeCell ref="A6:B6"/>
    <mergeCell ref="A7:B7"/>
    <mergeCell ref="A25:B25"/>
    <mergeCell ref="A27:B27"/>
    <mergeCell ref="A3:B3"/>
    <mergeCell ref="C7:H7"/>
    <mergeCell ref="A26:B26"/>
    <mergeCell ref="A2:H2"/>
    <mergeCell ref="A5:B5"/>
    <mergeCell ref="A33:H33"/>
    <mergeCell ref="C3:H3"/>
    <mergeCell ref="A23:H23"/>
    <mergeCell ref="A32:H32"/>
    <mergeCell ref="A4:B4"/>
    <mergeCell ref="C6:H6"/>
    <mergeCell ref="A29:B29"/>
    <mergeCell ref="A35:H35"/>
    <mergeCell ref="A43:H43"/>
    <mergeCell ref="A38:H38"/>
    <mergeCell ref="C5:H5"/>
    <mergeCell ref="A28:B28"/>
    <mergeCell ref="A10:H10"/>
    <mergeCell ref="C4:H4"/>
    <mergeCell ref="A31:H31"/>
    <mergeCell ref="A34:H34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34" customWidth="1" min="4" max="4"/>
    <col width="20" customWidth="1" min="5" max="5"/>
    <col width="20" customWidth="1" min="6" max="6"/>
  </cols>
  <sheetData>
    <row r="1" ht="24" customHeight="1">
      <c r="A1" s="10" t="inlineStr">
        <is>
          <t>Deviation Log</t>
        </is>
      </c>
    </row>
    <row r="2" ht="30" customHeight="1">
      <c r="A2" s="9" t="n"/>
    </row>
    <row r="3"/>
    <row r="4" ht="34.7" customHeight="1">
      <c r="A4" s="24" t="inlineStr">
        <is>
          <t>Date</t>
        </is>
      </c>
      <c r="B4" s="24" t="inlineStr">
        <is>
          <t>Procurement / Item</t>
        </is>
      </c>
      <c r="C4" s="24" t="inlineStr">
        <is>
          <t>Vendor / Product (off-list)</t>
        </is>
      </c>
      <c r="D4" s="24" t="inlineStr">
        <is>
          <t>Rationale</t>
        </is>
      </c>
      <c r="E4" s="24" t="inlineStr">
        <is>
          <t>Risk Acceptance Ref</t>
        </is>
      </c>
      <c r="F4" s="24" t="inlineStr">
        <is>
          <t>Approved By (Role)</t>
        </is>
      </c>
    </row>
    <row r="5" ht="50.5" customHeight="1">
      <c r="A5" s="29">
        <v>46037</v>
      </c>
      <c r="B5" s="21" t="inlineStr">
        <is>
          <t>Emergency UPS replacement</t>
        </is>
      </c>
      <c r="C5" s="21" t="inlineStr">
        <is>
          <t>APC Smart-UPS (off-list model)</t>
        </is>
      </c>
      <c r="D5" s="21" t="inlineStr">
        <is>
          <t>Prior model discontinued; equivalent security profile, like-for-like</t>
        </is>
      </c>
      <c r="E5" s="21" t="inlineStr">
        <is>
          <t>RR-014</t>
        </is>
      </c>
      <c r="F5" s="21" t="inlineStr">
        <is>
          <t>Director</t>
        </is>
      </c>
    </row>
    <row r="6">
      <c r="A6" s="21" t="n"/>
      <c r="B6" s="21" t="n"/>
      <c r="C6" s="21" t="n"/>
      <c r="D6" s="21" t="n"/>
      <c r="E6" s="21" t="n"/>
      <c r="F6" s="21" t="n"/>
    </row>
    <row r="7">
      <c r="A7" s="21" t="n"/>
      <c r="B7" s="21" t="n"/>
      <c r="C7" s="21" t="n"/>
      <c r="D7" s="21" t="n"/>
      <c r="E7" s="21" t="n"/>
      <c r="F7" s="21" t="n"/>
    </row>
    <row r="8">
      <c r="A8" s="21" t="n"/>
      <c r="B8" s="21" t="n"/>
      <c r="C8" s="21" t="n"/>
      <c r="D8" s="21" t="n"/>
      <c r="E8" s="21" t="n"/>
      <c r="F8" s="21" t="n"/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</sheetData>
  <mergeCells count="2">
    <mergeCell ref="A2:F2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2026-07-27T20:53:16Z</dcterms:modified>
  <cp:lastModifiedBy/>
  <cp:revision>0</cp:revision>
  <dc:title xmlns:dc="http://purl.org/dc/elements/1.1/">Approved Vendor / Product List - EXAMPLE - S</dc:title>
</cp:coreProperties>
</file>
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utoFilterDateGrouping="1"/>
  </bookViews>
  <sheets>
    <sheet xmlns:r="http://schemas.openxmlformats.org/officeDocument/2006/relationships" name="Form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Aptos"/>
      <family val="2"/>
      <color theme="1"/>
      <sz val="11"/>
      <scheme val="minor"/>
    </font>
    <font>
      <name val="Aptos"/>
      <b val="1"/>
      <color rgb="FF1B3A5C"/>
      <sz val="14"/>
    </font>
    <font>
      <name val="Aptos"/>
      <b val="1"/>
      <color rgb="FFFFFFFF"/>
      <sz val="16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1B3A5C"/>
      <sz val="13"/>
    </font>
    <font>
      <name val="Aptos"/>
      <b val="1"/>
      <color rgb="FFFFFFFF"/>
      <sz val="12"/>
    </font>
    <font>
      <name val="Aptos"/>
      <b val="1"/>
      <color rgb="FF000000"/>
      <sz val="12"/>
    </font>
  </fonts>
  <fills count="4">
    <fill>
      <patternFill/>
    </fill>
    <fill>
      <patternFill patternType="gray125"/>
    </fill>
    <fill>
      <patternFill patternType="solid">
        <fgColor rgb="FF1B3A5C"/>
      </patternFill>
    </fill>
    <fill>
      <patternFill patternType="solid">
        <fgColor rgb="FFEEF2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4" fillId="3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wrapText="1"/>
    </xf>
    <xf numFmtId="0" fontId="6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0" borderId="0" pivotButton="0" quotePrefix="0" xfId="0"/>
    <xf numFmtId="0" fontId="7" fillId="0" borderId="0" pivotButton="0" quotePrefix="0" xfId="0"/>
    <xf numFmtId="0" fontId="6" fillId="2" borderId="1" applyAlignment="1" pivotButton="0" quotePrefix="0" xfId="0">
      <alignment horizontal="center"/>
    </xf>
    <xf numFmtId="0" fontId="4" fillId="0" borderId="1" pivotButton="0" quotePrefix="0" xfId="0"/>
    <xf applyNumberFormat="1" numFmtId="164" fontId="4" fillId="0" borderId="1" applyAlignment="1" pivotButton="0" quotePrefix="0" xfId="0">
      <alignment vertical="top" wrapText="1"/>
    </xf>
    <xf applyNumberFormat="1" numFmtId="16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9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</row>
      <rowOff>0</rowOff>
    </from>
    <ext cx="4953000" cy="3143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25</row>
      <rowOff>0</rowOff>
    </from>
    <ext cx="4953000" cy="3143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Aptos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8"/>
  <sheetViews>
    <sheetView showGridLines="0" workbookViewId="0">
      <pane ySplit="4" topLeftCell="A5" activePane="bottomLeft" state="frozen"/>
      <selection pane="bottomLeft" activeCell="A5" sqref="A5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0" customWidth="1" min="4" max="4"/>
    <col width="13" customWidth="1" min="5" max="5"/>
    <col width="18" customWidth="1" min="6" max="6"/>
    <col width="30" customWidth="1" min="7" max="7"/>
    <col width="12" customWidth="1" min="8" max="8"/>
    <col width="14" customWidth="1" min="9" max="9"/>
    <col width="22" customWidth="1" min="10" max="10"/>
  </cols>
  <sheetData>
    <row r="1" ht="46" customHeight="1">
      <c r="C1" s="1" t="inlineStr">
        <is>
          <t>Wabash Valley Communications   ·   Worked Example</t>
        </is>
      </c>
    </row>
    <row r="2" ht="26" customHeight="1">
      <c r="A2" s="2" t="inlineStr">
        <is>
          <t>Risk / Finding Register (POA&amp;M)</t>
        </is>
      </c>
    </row>
    <row r="4" ht="20" customHeight="1">
      <c r="A4" s="3" t="inlineStr">
        <is>
          <t>Authority</t>
        </is>
      </c>
      <c r="B4" s="4" t="n"/>
      <c r="C4" s="5" t="inlineStr">
        <is>
          <t>Adopted by Wabash Valley Communications under the authority of Anthony Reyes, Director.</t>
        </is>
      </c>
      <c r="D4" s="4" t="n"/>
      <c r="E4" s="4" t="n"/>
      <c r="F4" s="4" t="n"/>
      <c r="G4" s="4" t="n"/>
      <c r="H4" s="4" t="n"/>
      <c r="I4" s="4" t="n"/>
      <c r="J4" s="4" t="n"/>
    </row>
    <row r="5" ht="20" customHeight="1">
      <c r="A5" s="3" t="inlineStr">
        <is>
          <t>Owner</t>
        </is>
      </c>
      <c r="B5" s="4" t="n"/>
      <c r="C5" s="5" t="inlineStr">
        <is>
          <t>Security Coordinator</t>
        </is>
      </c>
      <c r="D5" s="4" t="n"/>
      <c r="E5" s="4" t="n"/>
      <c r="F5" s="4" t="n"/>
      <c r="G5" s="4" t="n"/>
      <c r="H5" s="4" t="n"/>
      <c r="I5" s="4" t="n"/>
      <c r="J5" s="4" t="n"/>
    </row>
    <row r="6" ht="20" customHeight="1">
      <c r="A6" s="3" t="inlineStr">
        <is>
          <t>Version / Dates</t>
        </is>
      </c>
      <c r="B6" s="4" t="n"/>
      <c r="C6" s="5" t="inlineStr">
        <is>
          <t>Version 1.0      Effective Date 2026-06-01      Next Review 2027-06-01</t>
        </is>
      </c>
      <c r="D6" s="4" t="n"/>
      <c r="E6" s="4" t="n"/>
      <c r="F6" s="4" t="n"/>
      <c r="G6" s="4" t="n"/>
      <c r="H6" s="4" t="n"/>
      <c r="I6" s="4" t="n"/>
      <c r="J6" s="4" t="n"/>
    </row>
    <row r="7" ht="20" customHeight="1">
      <c r="A7" s="3" t="inlineStr">
        <is>
          <t>Classification</t>
        </is>
      </c>
      <c r="B7" s="4" t="n"/>
      <c r="C7" s="5" t="inlineStr">
        <is>
          <t>Restricted</t>
        </is>
      </c>
      <c r="D7" s="4" t="n"/>
      <c r="E7" s="4" t="n"/>
      <c r="F7" s="4" t="n"/>
      <c r="G7" s="4" t="n"/>
      <c r="H7" s="4" t="n"/>
      <c r="I7" s="4" t="n"/>
      <c r="J7" s="4" t="n"/>
    </row>
    <row r="8" ht="20" customHeight="1">
      <c r="A8" s="3" t="inlineStr">
        <is>
          <t>Review cadence</t>
        </is>
      </c>
      <c r="B8" s="4" t="n"/>
      <c r="C8" s="5" t="inlineStr">
        <is>
          <t>Reviewed monthly by the Security Coordinator; open items tracked to closure.</t>
        </is>
      </c>
      <c r="D8" s="4" t="n"/>
      <c r="E8" s="4" t="n"/>
      <c r="F8" s="4" t="n"/>
      <c r="G8" s="4" t="n"/>
      <c r="H8" s="4" t="n"/>
      <c r="I8" s="4" t="n"/>
      <c r="J8" s="4" t="n"/>
    </row>
    <row r="10">
      <c r="A10" s="6" t="inlineStr">
        <is>
          <t>Boundary</t>
        </is>
      </c>
    </row>
    <row r="11" ht="30" customHeight="1">
      <c r="A11" s="7" t="inlineStr">
        <is>
          <t>This register holds findings from assessments, scans, and audits, tracked to closure. Enterprise-level risks are maintained in the Risk Register and cross-referenced in the Risk Register Ref column.</t>
        </is>
      </c>
    </row>
    <row r="12">
      <c r="A12" s="6" t="inlineStr">
        <is>
          <t>Finding Entries</t>
        </is>
      </c>
    </row>
    <row r="13" ht="34.7" customHeight="1">
      <c r="A13" s="8" t="inlineStr">
        <is>
          <t>Finding ID</t>
        </is>
      </c>
      <c r="B13" s="8" t="inlineStr">
        <is>
          <t>Source (type + reference)</t>
        </is>
      </c>
      <c r="C13" s="8" t="inlineStr">
        <is>
          <t>Finding</t>
        </is>
      </c>
      <c r="D13" s="8" t="inlineStr">
        <is>
          <t>Impact Rank</t>
        </is>
      </c>
      <c r="E13" s="8" t="inlineStr">
        <is>
          <t>Risk Register Ref</t>
        </is>
      </c>
      <c r="F13" s="8" t="inlineStr">
        <is>
          <t>Owner (Role)</t>
        </is>
      </c>
      <c r="G13" s="8" t="inlineStr">
        <is>
          <t>Remediation Action</t>
        </is>
      </c>
      <c r="H13" s="8" t="inlineStr">
        <is>
          <t>Due Date</t>
        </is>
      </c>
      <c r="I13" s="8" t="inlineStr">
        <is>
          <t>Status</t>
        </is>
      </c>
      <c r="J13" s="8" t="inlineStr">
        <is>
          <t>Closure Date / Evidence</t>
        </is>
      </c>
    </row>
    <row r="14" ht="50.5" customHeight="1">
      <c r="A14" s="9" t="inlineStr">
        <is>
          <t>F-01</t>
        </is>
      </c>
      <c r="B14" s="9" t="inlineStr">
        <is>
          <t>Vulnerability scan 2026-03 (host SRV-02)</t>
        </is>
      </c>
      <c r="C14" s="9" t="inlineStr">
        <is>
          <t>Unpatched OS on a CAD application server</t>
        </is>
      </c>
      <c r="D14" s="9" t="inlineStr">
        <is>
          <t>High (service)</t>
        </is>
      </c>
      <c r="E14" s="9" t="inlineStr">
        <is>
          <t>R-02</t>
        </is>
      </c>
      <c r="F14" s="9" t="inlineStr">
        <is>
          <t>County IT</t>
        </is>
      </c>
      <c r="G14" s="9" t="inlineStr">
        <is>
          <t>Apply vendor patch in the maintenance window</t>
        </is>
      </c>
      <c r="H14" s="14">
        <v>46157</v>
      </c>
      <c r="I14" s="9" t="inlineStr">
        <is>
          <t>Closed</t>
        </is>
      </c>
      <c r="J14" s="9" t="inlineStr">
        <is>
          <t>2026-05-12; change ticket #4471</t>
        </is>
      </c>
    </row>
    <row r="15" ht="50.5" customHeight="1">
      <c r="A15" s="9" t="inlineStr">
        <is>
          <t>F-02</t>
        </is>
      </c>
      <c r="B15" s="9" t="inlineStr">
        <is>
          <t>External assessment 2026-02</t>
        </is>
      </c>
      <c r="C15" s="9" t="inlineStr">
        <is>
          <t>MFA not enforced for remote administrative access</t>
        </is>
      </c>
      <c r="D15" s="9" t="inlineStr">
        <is>
          <t>High (life-safety)</t>
        </is>
      </c>
      <c r="E15" s="9" t="inlineStr">
        <is>
          <t>R-04</t>
        </is>
      </c>
      <c r="F15" s="9" t="inlineStr">
        <is>
          <t>Security Coordinator</t>
        </is>
      </c>
      <c r="G15" s="9" t="inlineStr">
        <is>
          <t>Enforce MFA on the VPN and admin accounts</t>
        </is>
      </c>
      <c r="H15" s="14">
        <v>46203</v>
      </c>
      <c r="I15" s="9" t="inlineStr">
        <is>
          <t>In Progress</t>
        </is>
      </c>
      <c r="J15" s="9" t="inlineStr"/>
    </row>
    <row r="16" ht="34.7" customHeight="1">
      <c r="A16" s="9" t="inlineStr">
        <is>
          <t>F-03</t>
        </is>
      </c>
      <c r="B16" s="9" t="inlineStr">
        <is>
          <t>Vulnerability scan 2026-03</t>
        </is>
      </c>
      <c r="C16" s="9" t="inlineStr">
        <is>
          <t>Legacy SMBv1 enabled on two file shares</t>
        </is>
      </c>
      <c r="D16" s="9" t="inlineStr">
        <is>
          <t>Medium (service)</t>
        </is>
      </c>
      <c r="E16" s="9" t="inlineStr">
        <is>
          <t>R-06</t>
        </is>
      </c>
      <c r="F16" s="9" t="inlineStr">
        <is>
          <t>County IT</t>
        </is>
      </c>
      <c r="G16" s="9" t="inlineStr">
        <is>
          <t>Disable SMBv1; confirm no dependency</t>
        </is>
      </c>
      <c r="H16" s="14">
        <v>46188</v>
      </c>
      <c r="I16" s="9" t="inlineStr">
        <is>
          <t>In Progress</t>
        </is>
      </c>
      <c r="J16" s="9" t="inlineStr"/>
    </row>
    <row r="17" ht="34.7" customHeight="1">
      <c r="A17" s="9" t="inlineStr">
        <is>
          <t>F-04</t>
        </is>
      </c>
      <c r="B17" s="9" t="inlineStr">
        <is>
          <t>Self-assessment 2026-01</t>
        </is>
      </c>
      <c r="C17" s="9" t="inlineStr">
        <is>
          <t>Logging not centralized; gaps in retention</t>
        </is>
      </c>
      <c r="D17" s="9" t="inlineStr">
        <is>
          <t>Medium (data)</t>
        </is>
      </c>
      <c r="E17" s="9" t="inlineStr">
        <is>
          <t>R-08</t>
        </is>
      </c>
      <c r="F17" s="9" t="inlineStr">
        <is>
          <t>Security Coordinator</t>
        </is>
      </c>
      <c r="G17" s="9" t="inlineStr">
        <is>
          <t>Forward logs to the county log store; set retention</t>
        </is>
      </c>
      <c r="H17" s="14">
        <v>46265</v>
      </c>
      <c r="I17" s="9" t="inlineStr">
        <is>
          <t>Open</t>
        </is>
      </c>
      <c r="J17" s="9" t="inlineStr"/>
    </row>
    <row r="18" ht="50.5" customHeight="1">
      <c r="A18" s="9" t="inlineStr">
        <is>
          <t>F-05</t>
        </is>
      </c>
      <c r="B18" s="9" t="inlineStr">
        <is>
          <t>External assessment 2026-02</t>
        </is>
      </c>
      <c r="C18" s="9" t="inlineStr">
        <is>
          <t>Visitor sign-in not enforced at the comms room</t>
        </is>
      </c>
      <c r="D18" s="9" t="inlineStr">
        <is>
          <t>Low</t>
        </is>
      </c>
      <c r="E18" s="9" t="inlineStr">
        <is>
          <t>R-11</t>
        </is>
      </c>
      <c r="F18" s="9" t="inlineStr">
        <is>
          <t>Security Coordinator</t>
        </is>
      </c>
      <c r="G18" s="9" t="inlineStr">
        <is>
          <t>Add visitor log and escort rule</t>
        </is>
      </c>
      <c r="H18" s="14">
        <v>46172</v>
      </c>
      <c r="I18" s="9" t="inlineStr">
        <is>
          <t>Closed</t>
        </is>
      </c>
      <c r="J18" s="9" t="inlineStr">
        <is>
          <t>2026-05-28; log in use</t>
        </is>
      </c>
    </row>
    <row r="19" ht="34.7" customHeight="1">
      <c r="A19" s="9" t="inlineStr">
        <is>
          <t>F-06</t>
        </is>
      </c>
      <c r="B19" s="9" t="inlineStr">
        <is>
          <t>Self-assessment 2026-01</t>
        </is>
      </c>
      <c r="C19" s="9" t="inlineStr">
        <is>
          <t>Second-site failover not tested in 12 months</t>
        </is>
      </c>
      <c r="D19" s="9" t="inlineStr">
        <is>
          <t>Medium (service-continuity)</t>
        </is>
      </c>
      <c r="E19" s="9" t="inlineStr">
        <is>
          <t>R-12</t>
        </is>
      </c>
      <c r="F19" s="9" t="inlineStr">
        <is>
          <t>County IT</t>
        </is>
      </c>
      <c r="G19" s="9" t="inlineStr">
        <is>
          <t>Schedule a failover test with the ESInet provider</t>
        </is>
      </c>
      <c r="H19" s="14">
        <v>46234</v>
      </c>
      <c r="I19" s="9" t="inlineStr">
        <is>
          <t>Open</t>
        </is>
      </c>
      <c r="J19" s="9" t="inlineStr"/>
    </row>
    <row r="21">
      <c r="A21" s="6" t="inlineStr">
        <is>
          <t>Status Summary (as of 2026-06-16)</t>
        </is>
      </c>
    </row>
    <row r="22">
      <c r="A22" s="10" t="inlineStr">
        <is>
          <t>Total findings</t>
        </is>
      </c>
      <c r="C22" s="11">
        <f>COUNTA(A14:A19)</f>
      </c>
    </row>
    <row r="23">
      <c r="A23" s="10" t="inlineStr">
        <is>
          <t>Open</t>
        </is>
      </c>
      <c r="C23" s="11">
        <f>COUNTIF(I14:I19,"Open")</f>
      </c>
    </row>
    <row r="24">
      <c r="A24" s="10" t="inlineStr">
        <is>
          <t>In progress</t>
        </is>
      </c>
      <c r="C24" s="11">
        <f>COUNTIF(I14:I19,"In Progress")</f>
      </c>
    </row>
    <row r="25">
      <c r="A25" s="10" t="inlineStr">
        <is>
          <t>Overdue (open / in progress past due)</t>
        </is>
      </c>
      <c r="C25" s="11">
        <f>COUNTIFS(H14:H19,"&lt;"&amp;DATE(2026,6,16),I14:I19,"Open")+COUNTIFS(H14:H19,"&lt;"&amp;DATE(2026,6,16),I14:I19,"In Progress")</f>
      </c>
    </row>
    <row r="26">
      <c r="A26" s="10" t="inlineStr">
        <is>
          <t>Risk accepted</t>
        </is>
      </c>
      <c r="C26" s="11">
        <f>COUNTIF(I14:I19,"Risk Accepted")</f>
      </c>
    </row>
    <row r="27">
      <c r="A27" s="10" t="inlineStr">
        <is>
          <t>Closed</t>
        </is>
      </c>
      <c r="C27" s="11">
        <f>COUNTIF(I14:I19,"Closed")</f>
      </c>
    </row>
    <row r="28">
      <c r="A28" s="6" t="inlineStr">
        <is>
          <t>Source Authority</t>
        </is>
      </c>
    </row>
    <row r="29" ht="30" customHeight="1">
      <c r="A29" s="7" t="inlineStr">
        <is>
          <t>NENA-STA-040.2-2024: §3.2, §4.3, §5.2</t>
        </is>
      </c>
    </row>
    <row r="30" ht="30" customHeight="1">
      <c r="A30" s="7" t="inlineStr">
        <is>
          <t>NIST SP 800-53 Rev. 5: CA-5, CA-7, PM-4, RA-7, SI-2</t>
        </is>
      </c>
    </row>
    <row r="31">
      <c r="A31" s="6" t="inlineStr">
        <is>
          <t>Approval Signatures</t>
        </is>
      </c>
    </row>
    <row r="32">
      <c r="A32" s="12" t="inlineStr">
        <is>
          <t>Role</t>
        </is>
      </c>
      <c r="B32" s="12" t="inlineStr">
        <is>
          <t>Name</t>
        </is>
      </c>
      <c r="C32" s="12" t="inlineStr">
        <is>
          <t>Signature</t>
        </is>
      </c>
      <c r="D32" s="12" t="inlineStr">
        <is>
          <t>Date</t>
        </is>
      </c>
    </row>
    <row r="33" ht="22" customHeight="1">
      <c r="A33" s="13" t="inlineStr">
        <is>
          <t>Security Coordinator</t>
        </is>
      </c>
      <c r="B33" s="13" t="inlineStr">
        <is>
          <t>(on file)</t>
        </is>
      </c>
      <c r="C33" s="13" t="inlineStr">
        <is>
          <t>(on file)</t>
        </is>
      </c>
      <c r="D33" s="15">
        <v>46174</v>
      </c>
    </row>
    <row r="34" ht="22" customHeight="1">
      <c r="A34" s="13" t="inlineStr">
        <is>
          <t>Director</t>
        </is>
      </c>
      <c r="B34" s="13" t="inlineStr">
        <is>
          <t>Anthony Reyes</t>
        </is>
      </c>
      <c r="C34" s="13" t="inlineStr">
        <is>
          <t>Anthony Reyes</t>
        </is>
      </c>
      <c r="D34" s="15">
        <v>46174</v>
      </c>
    </row>
    <row r="36">
      <c r="A36" s="6" t="inlineStr">
        <is>
          <t>Revision History</t>
        </is>
      </c>
    </row>
    <row r="37" ht="32" customHeight="1">
      <c r="A37" s="8" t="inlineStr">
        <is>
          <t>Version</t>
        </is>
      </c>
      <c r="B37" s="8" t="inlineStr">
        <is>
          <t>Date</t>
        </is>
      </c>
      <c r="C37" s="8" t="inlineStr">
        <is>
          <t>Author</t>
        </is>
      </c>
      <c r="D37" s="8" t="inlineStr">
        <is>
          <t>Summary of Change</t>
        </is>
      </c>
    </row>
    <row r="38" ht="34.7" customHeight="1">
      <c r="A38" s="9" t="inlineStr">
        <is>
          <t>1.0</t>
        </is>
      </c>
      <c r="B38" s="14">
        <v>46174</v>
      </c>
      <c r="C38" s="9" t="inlineStr">
        <is>
          <t>Security Coordinator</t>
        </is>
      </c>
      <c r="D38" s="9" t="inlineStr">
        <is>
          <t>Initial issue; findings from the 2026 assessment cycle entered</t>
        </is>
      </c>
    </row>
  </sheetData>
  <mergeCells count="27">
    <mergeCell ref="A24:B24"/>
    <mergeCell ref="C6:J6"/>
    <mergeCell ref="A29:J29"/>
    <mergeCell ref="C5:J5"/>
    <mergeCell ref="A10:J10"/>
    <mergeCell ref="A28:J28"/>
    <mergeCell ref="A6:B6"/>
    <mergeCell ref="C4:J4"/>
    <mergeCell ref="A31:J31"/>
    <mergeCell ref="A7:B7"/>
    <mergeCell ref="A25:B25"/>
    <mergeCell ref="C1:J1"/>
    <mergeCell ref="A30:J30"/>
    <mergeCell ref="A27:B27"/>
    <mergeCell ref="A11:J11"/>
    <mergeCell ref="A26:B26"/>
    <mergeCell ref="A36:J36"/>
    <mergeCell ref="A5:B5"/>
    <mergeCell ref="A23:B23"/>
    <mergeCell ref="A8:B8"/>
    <mergeCell ref="A22:B22"/>
    <mergeCell ref="C8:J8"/>
    <mergeCell ref="A4:B4"/>
    <mergeCell ref="C7:J7"/>
    <mergeCell ref="A21:J21"/>
    <mergeCell ref="A12:J12"/>
    <mergeCell ref="A2:J2"/>
  </mergeCells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terms:created xmlns:dcterms="http://purl.org/dc/terms/" xmlns:xsi="http://www.w3.org/2001/XMLSchema-instance" xsi:type="dcterms:W3CDTF">2026-06-04T20:26:33Z</dcterms:created>
  <dcterms:modified xmlns:dcterms="http://purl.org/dc/terms/" xmlns:xsi="http://www.w3.org/2001/XMLSchema-instance" xsi:type="dcterms:W3CDTF">2026-06-04T20:26:33Z</dcterms:modified>
  <dc:title xmlns:dc="http://purl.org/dc/elements/1.1/">Risk / Finding Register (POA&amp;M) - EXAMPLE - M</dc:title>
  <cp:lastModifiedBy/>
</cp:coreProperties>
</file>
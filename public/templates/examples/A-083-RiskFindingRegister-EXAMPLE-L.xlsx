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1B3A5C"/>
      <sz val="13"/>
    </font>
    <font>
      <name val="Aptos"/>
      <b val="1"/>
      <color rgb="FFFFFFFF"/>
      <sz val="12"/>
    </font>
    <font>
      <name val="Aptos"/>
      <b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0" fontId="6" fillId="2" borderId="1" applyAlignment="1" pivotButton="0" quotePrefix="0" xfId="0">
      <alignment horizontal="center"/>
    </xf>
    <xf numFmtId="0" fontId="4" fillId="0" borderId="1" pivotButton="0" quotePrefix="0" xfId="0"/>
    <xf applyNumberFormat="1" numFmtId="164" fontId="4" fillId="0" borderId="1" applyAlignment="1" pivotButton="0" quotePrefix="0" xfId="0">
      <alignment vertical="top" wrapText="1"/>
    </xf>
    <xf applyNumberFormat="1"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49530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49530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0" customWidth="1" min="4" max="4"/>
    <col width="13" customWidth="1" min="5" max="5"/>
    <col width="18" customWidth="1" min="6" max="6"/>
    <col width="30" customWidth="1" min="7" max="7"/>
    <col width="12" customWidth="1" min="8" max="8"/>
    <col width="14" customWidth="1" min="9" max="9"/>
    <col width="22" customWidth="1" min="10" max="10"/>
  </cols>
  <sheetData>
    <row r="1" ht="46" customHeight="1">
      <c r="C1" s="1" t="inlineStr">
        <is>
          <t>Tri-River Regional 911 Center   ·   Worked Example</t>
        </is>
      </c>
    </row>
    <row r="2" ht="26" customHeight="1">
      <c r="A2" s="2" t="inlineStr">
        <is>
          <t>Risk / Finding Register (POA&amp;M)</t>
        </is>
      </c>
    </row>
    <row r="4" ht="20" customHeight="1">
      <c r="A4" s="3" t="inlineStr">
        <is>
          <t>Authority</t>
        </is>
      </c>
      <c r="B4" s="4" t="n"/>
      <c r="C4" s="5" t="inlineStr">
        <is>
          <t>Adopted by Tri-River Regional 911 Center under the authority of Dr. Lisa Park, Director.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3" t="inlineStr">
        <is>
          <t>Owner</t>
        </is>
      </c>
      <c r="B5" s="4" t="n"/>
      <c r="C5" s="5" t="inlineStr">
        <is>
          <t>Information Security Analyst</t>
        </is>
      </c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3" t="inlineStr">
        <is>
          <t>Version / Dates</t>
        </is>
      </c>
      <c r="B6" s="4" t="n"/>
      <c r="C6" s="5" t="inlineStr">
        <is>
          <t>Version 1.0      Effective Date 2026-06-01      Next Review 2027-06-01</t>
        </is>
      </c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</row>
    <row r="8" ht="20" customHeight="1">
      <c r="A8" s="3" t="inlineStr">
        <is>
          <t>Review cadence</t>
        </is>
      </c>
      <c r="B8" s="4" t="n"/>
      <c r="C8" s="5" t="inlineStr">
        <is>
          <t>Reviewed monthly by the Information Security Analyst; open items tracked to closure.</t>
        </is>
      </c>
      <c r="D8" s="4" t="n"/>
      <c r="E8" s="4" t="n"/>
      <c r="F8" s="4" t="n"/>
      <c r="G8" s="4" t="n"/>
      <c r="H8" s="4" t="n"/>
      <c r="I8" s="4" t="n"/>
      <c r="J8" s="4" t="n"/>
    </row>
    <row r="10">
      <c r="A10" s="6" t="inlineStr">
        <is>
          <t>Boundary</t>
        </is>
      </c>
    </row>
    <row r="11" ht="30" customHeight="1">
      <c r="A11" s="7" t="inlineStr">
        <is>
          <t>This register holds findings from assessments, scans, and audits, tracked to closure. Enterprise-level risks are maintained in the Risk Register and cross-referenced in the Risk Register Ref column.</t>
        </is>
      </c>
    </row>
    <row r="12">
      <c r="A12" s="6" t="inlineStr">
        <is>
          <t>Finding Entries</t>
        </is>
      </c>
    </row>
    <row r="13" ht="34.7" customHeight="1">
      <c r="A13" s="8" t="inlineStr">
        <is>
          <t>Finding ID</t>
        </is>
      </c>
      <c r="B13" s="8" t="inlineStr">
        <is>
          <t>Source (type + reference)</t>
        </is>
      </c>
      <c r="C13" s="8" t="inlineStr">
        <is>
          <t>Finding</t>
        </is>
      </c>
      <c r="D13" s="8" t="inlineStr">
        <is>
          <t>Impact Rank</t>
        </is>
      </c>
      <c r="E13" s="8" t="inlineStr">
        <is>
          <t>Risk Register Ref</t>
        </is>
      </c>
      <c r="F13" s="8" t="inlineStr">
        <is>
          <t>Owner (Role)</t>
        </is>
      </c>
      <c r="G13" s="8" t="inlineStr">
        <is>
          <t>Remediation Action</t>
        </is>
      </c>
      <c r="H13" s="8" t="inlineStr">
        <is>
          <t>Due Date</t>
        </is>
      </c>
      <c r="I13" s="8" t="inlineStr">
        <is>
          <t>Status</t>
        </is>
      </c>
      <c r="J13" s="8" t="inlineStr">
        <is>
          <t>Closure Date / Evidence</t>
        </is>
      </c>
    </row>
    <row r="14" ht="34.7" customHeight="1">
      <c r="A14" s="9" t="inlineStr">
        <is>
          <t>F-01</t>
        </is>
      </c>
      <c r="B14" s="9" t="inlineStr">
        <is>
          <t>SIEM alert review 2026-04</t>
        </is>
      </c>
      <c r="C14" s="9" t="inlineStr">
        <is>
          <t>Disabled endpoint agent on three workstations</t>
        </is>
      </c>
      <c r="D14" s="9" t="inlineStr">
        <is>
          <t>High (service)</t>
        </is>
      </c>
      <c r="E14" s="9" t="inlineStr">
        <is>
          <t>R-01</t>
        </is>
      </c>
      <c r="F14" s="9" t="inlineStr">
        <is>
          <t>IT Director</t>
        </is>
      </c>
      <c r="G14" s="9" t="inlineStr">
        <is>
          <t>Reinstall and monitor agent coverage in the SIEM</t>
        </is>
      </c>
      <c r="H14" s="14">
        <v>46162</v>
      </c>
      <c r="I14" s="9" t="inlineStr">
        <is>
          <t>Closed</t>
        </is>
      </c>
      <c r="J14" s="9" t="inlineStr">
        <is>
          <t>2026-05-18; SIEM coverage report</t>
        </is>
      </c>
    </row>
    <row r="15" ht="34.7" customHeight="1">
      <c r="A15" s="9" t="inlineStr">
        <is>
          <t>F-02</t>
        </is>
      </c>
      <c r="B15" s="9" t="inlineStr">
        <is>
          <t>Quarterly scan 2026-03</t>
        </is>
      </c>
      <c r="C15" s="9" t="inlineStr">
        <is>
          <t>Critical CVE on a GIS integration server</t>
        </is>
      </c>
      <c r="D15" s="9" t="inlineStr">
        <is>
          <t>High (service)</t>
        </is>
      </c>
      <c r="E15" s="9" t="inlineStr">
        <is>
          <t>R-03</t>
        </is>
      </c>
      <c r="F15" s="9" t="inlineStr">
        <is>
          <t>IT Director</t>
        </is>
      </c>
      <c r="G15" s="9" t="inlineStr">
        <is>
          <t>Patch and revalidate the GIS feed</t>
        </is>
      </c>
      <c r="H15" s="14">
        <v>46173</v>
      </c>
      <c r="I15" s="9" t="inlineStr">
        <is>
          <t>Closed</t>
        </is>
      </c>
      <c r="J15" s="9" t="inlineStr">
        <is>
          <t>2026-05-29; scan re-run clean</t>
        </is>
      </c>
    </row>
    <row r="16" ht="50.5" customHeight="1">
      <c r="A16" s="9" t="inlineStr">
        <is>
          <t>F-03</t>
        </is>
      </c>
      <c r="B16" s="9" t="inlineStr">
        <is>
          <t>External assessment 2026-02</t>
        </is>
      </c>
      <c r="C16" s="9" t="inlineStr">
        <is>
          <t>Privileged accounts without periodic recertification</t>
        </is>
      </c>
      <c r="D16" s="9" t="inlineStr">
        <is>
          <t>High (data)</t>
        </is>
      </c>
      <c r="E16" s="9" t="inlineStr">
        <is>
          <t>R-05</t>
        </is>
      </c>
      <c r="F16" s="9" t="inlineStr">
        <is>
          <t>Information Security Analyst</t>
        </is>
      </c>
      <c r="G16" s="9" t="inlineStr">
        <is>
          <t>Stand up quarterly privileged-access recertification</t>
        </is>
      </c>
      <c r="H16" s="14">
        <v>46218</v>
      </c>
      <c r="I16" s="9" t="inlineStr">
        <is>
          <t>In Progress</t>
        </is>
      </c>
      <c r="J16" s="9" t="inlineStr"/>
    </row>
    <row r="17" ht="34.7" customHeight="1">
      <c r="A17" s="9" t="inlineStr">
        <is>
          <t>F-04</t>
        </is>
      </c>
      <c r="B17" s="9" t="inlineStr">
        <is>
          <t>Quarterly scan 2026-03</t>
        </is>
      </c>
      <c r="C17" s="9" t="inlineStr">
        <is>
          <t>TLS 1.0 still accepted on one internal service</t>
        </is>
      </c>
      <c r="D17" s="9" t="inlineStr">
        <is>
          <t>Medium (data)</t>
        </is>
      </c>
      <c r="E17" s="9" t="inlineStr">
        <is>
          <t>R-07</t>
        </is>
      </c>
      <c r="F17" s="9" t="inlineStr">
        <is>
          <t>IT Director</t>
        </is>
      </c>
      <c r="G17" s="9" t="inlineStr">
        <is>
          <t>Disable TLS 1.0/1.1 on the service</t>
        </is>
      </c>
      <c r="H17" s="14">
        <v>46203</v>
      </c>
      <c r="I17" s="9" t="inlineStr">
        <is>
          <t>In Progress</t>
        </is>
      </c>
      <c r="J17" s="9" t="inlineStr"/>
    </row>
    <row r="18" ht="34.7" customHeight="1">
      <c r="A18" s="9" t="inlineStr">
        <is>
          <t>F-05</t>
        </is>
      </c>
      <c r="B18" s="9" t="inlineStr">
        <is>
          <t>Tabletop 2026-02</t>
        </is>
      </c>
      <c r="C18" s="9" t="inlineStr">
        <is>
          <t>Backup call-handling runbook out of date</t>
        </is>
      </c>
      <c r="D18" s="9" t="inlineStr">
        <is>
          <t>High (life-safety)</t>
        </is>
      </c>
      <c r="E18" s="9" t="inlineStr">
        <is>
          <t>R-02</t>
        </is>
      </c>
      <c r="F18" s="9" t="inlineStr">
        <is>
          <t>Information Security Analyst</t>
        </is>
      </c>
      <c r="G18" s="9" t="inlineStr">
        <is>
          <t>Revise and re-exercise the continuity runbook</t>
        </is>
      </c>
      <c r="H18" s="14">
        <v>46188</v>
      </c>
      <c r="I18" s="9" t="inlineStr">
        <is>
          <t>In Progress</t>
        </is>
      </c>
      <c r="J18" s="9" t="inlineStr"/>
    </row>
    <row r="19" ht="34.7" customHeight="1">
      <c r="A19" s="9" t="inlineStr">
        <is>
          <t>F-06</t>
        </is>
      </c>
      <c r="B19" s="9" t="inlineStr">
        <is>
          <t>SIEM alert review 2026-04</t>
        </is>
      </c>
      <c r="C19" s="9" t="inlineStr">
        <is>
          <t>Excessive failed logins not alerting to on-call</t>
        </is>
      </c>
      <c r="D19" s="9" t="inlineStr">
        <is>
          <t>Medium (service)</t>
        </is>
      </c>
      <c r="E19" s="9" t="inlineStr">
        <is>
          <t>R-09</t>
        </is>
      </c>
      <c r="F19" s="9" t="inlineStr">
        <is>
          <t>Information Security Analyst</t>
        </is>
      </c>
      <c r="G19" s="9" t="inlineStr">
        <is>
          <t>Tune SIEM rule and on-call escalation</t>
        </is>
      </c>
      <c r="H19" s="14">
        <v>46167</v>
      </c>
      <c r="I19" s="9" t="inlineStr">
        <is>
          <t>Closed</t>
        </is>
      </c>
      <c r="J19" s="9" t="inlineStr">
        <is>
          <t>2026-05-24; rule and page test on file</t>
        </is>
      </c>
    </row>
    <row r="20" ht="34.7" customHeight="1">
      <c r="A20" s="9" t="inlineStr">
        <is>
          <t>F-07</t>
        </is>
      </c>
      <c r="B20" s="9" t="inlineStr">
        <is>
          <t>Risk review 2026-01</t>
        </is>
      </c>
      <c r="C20" s="9" t="inlineStr">
        <is>
          <t>Single fiber path between the two centers</t>
        </is>
      </c>
      <c r="D20" s="9" t="inlineStr">
        <is>
          <t>Medium (service-continuity)</t>
        </is>
      </c>
      <c r="E20" s="9" t="inlineStr">
        <is>
          <t>R-13</t>
        </is>
      </c>
      <c r="F20" s="9" t="inlineStr">
        <is>
          <t>IT Director</t>
        </is>
      </c>
      <c r="G20" s="9" t="inlineStr">
        <is>
          <t>Accepted for this cycle; tracked in the decisions log</t>
        </is>
      </c>
      <c r="H20" s="14">
        <v>46204</v>
      </c>
      <c r="I20" s="9" t="inlineStr">
        <is>
          <t>Risk Accepted</t>
        </is>
      </c>
      <c r="J20" s="9" t="inlineStr">
        <is>
          <t>2026-04-02; see decisions log</t>
        </is>
      </c>
    </row>
    <row r="22">
      <c r="A22" s="6" t="inlineStr">
        <is>
          <t>Status Summary (as of 2026-06-16)</t>
        </is>
      </c>
    </row>
    <row r="23">
      <c r="A23" s="10" t="inlineStr">
        <is>
          <t>Total findings</t>
        </is>
      </c>
      <c r="C23" s="11">
        <f>COUNTA(A14:A20)</f>
      </c>
    </row>
    <row r="24">
      <c r="A24" s="10" t="inlineStr">
        <is>
          <t>Open</t>
        </is>
      </c>
      <c r="C24" s="11">
        <f>COUNTIF(I14:I20,"Open")</f>
      </c>
    </row>
    <row r="25">
      <c r="A25" s="10" t="inlineStr">
        <is>
          <t>In progress</t>
        </is>
      </c>
      <c r="C25" s="11">
        <f>COUNTIF(I14:I20,"In Progress")</f>
      </c>
    </row>
    <row r="26">
      <c r="A26" s="10" t="inlineStr">
        <is>
          <t>Overdue (open / in progress past due)</t>
        </is>
      </c>
      <c r="C26" s="11">
        <f>COUNTIFS(H14:H20,"&lt;"&amp;DATE(2026,6,16),I14:I20,"Open")+COUNTIFS(H14:H20,"&lt;"&amp;DATE(2026,6,16),I14:I20,"In Progress")</f>
      </c>
    </row>
    <row r="27">
      <c r="A27" s="10" t="inlineStr">
        <is>
          <t>Risk accepted</t>
        </is>
      </c>
      <c r="C27" s="11">
        <f>COUNTIF(I14:I20,"Risk Accepted")</f>
      </c>
    </row>
    <row r="28">
      <c r="A28" s="10" t="inlineStr">
        <is>
          <t>Closed</t>
        </is>
      </c>
      <c r="C28" s="11">
        <f>COUNTIF(I14:I20,"Closed")</f>
      </c>
    </row>
    <row r="29">
      <c r="A29" s="6" t="inlineStr">
        <is>
          <t>Source Authority</t>
        </is>
      </c>
    </row>
    <row r="30" ht="30" customHeight="1">
      <c r="A30" s="7" t="inlineStr">
        <is>
          <t>NENA-STA-040.2-2024: §3.2, §4.3, §5.2</t>
        </is>
      </c>
    </row>
    <row r="31" ht="30" customHeight="1">
      <c r="A31" s="7" t="inlineStr">
        <is>
          <t>NIST SP 800-53 Rev. 5: CA-5, CA-7, PM-4, RA-7, SI-2</t>
        </is>
      </c>
    </row>
    <row r="32">
      <c r="A32" s="6" t="inlineStr">
        <is>
          <t>Approval Signatures</t>
        </is>
      </c>
    </row>
    <row r="33">
      <c r="A33" s="12" t="inlineStr">
        <is>
          <t>Role</t>
        </is>
      </c>
      <c r="B33" s="12" t="inlineStr">
        <is>
          <t>Name</t>
        </is>
      </c>
      <c r="C33" s="12" t="inlineStr">
        <is>
          <t>Signature</t>
        </is>
      </c>
      <c r="D33" s="12" t="inlineStr">
        <is>
          <t>Date</t>
        </is>
      </c>
    </row>
    <row r="34" ht="22" customHeight="1">
      <c r="A34" s="13" t="inlineStr">
        <is>
          <t>Information Security Analyst</t>
        </is>
      </c>
      <c r="B34" s="13" t="inlineStr">
        <is>
          <t>(on file)</t>
        </is>
      </c>
      <c r="C34" s="13" t="inlineStr">
        <is>
          <t>(on file)</t>
        </is>
      </c>
      <c r="D34" s="15">
        <v>46174</v>
      </c>
    </row>
    <row r="35" ht="22" customHeight="1">
      <c r="A35" s="13" t="inlineStr">
        <is>
          <t>Director</t>
        </is>
      </c>
      <c r="B35" s="13" t="inlineStr">
        <is>
          <t>Dr. Lisa Park</t>
        </is>
      </c>
      <c r="C35" s="13" t="inlineStr">
        <is>
          <t>Dr. Lisa Park</t>
        </is>
      </c>
      <c r="D35" s="15">
        <v>46174</v>
      </c>
    </row>
    <row r="37">
      <c r="A37" s="6" t="inlineStr">
        <is>
          <t>Revision History</t>
        </is>
      </c>
    </row>
    <row r="38" ht="32" customHeight="1">
      <c r="A38" s="8" t="inlineStr">
        <is>
          <t>Version</t>
        </is>
      </c>
      <c r="B38" s="8" t="inlineStr">
        <is>
          <t>Date</t>
        </is>
      </c>
      <c r="C38" s="8" t="inlineStr">
        <is>
          <t>Author</t>
        </is>
      </c>
      <c r="D38" s="8" t="inlineStr">
        <is>
          <t>Summary of Change</t>
        </is>
      </c>
    </row>
    <row r="39" ht="34.7" customHeight="1">
      <c r="A39" s="9" t="inlineStr">
        <is>
          <t>1.0</t>
        </is>
      </c>
      <c r="B39" s="14">
        <v>46174</v>
      </c>
      <c r="C39" s="9" t="inlineStr">
        <is>
          <t>Information Security Analyst</t>
        </is>
      </c>
      <c r="D39" s="9" t="inlineStr">
        <is>
          <t>Initial issue; findings from the 2026 assessment cycle entered</t>
        </is>
      </c>
    </row>
  </sheetData>
  <mergeCells count="27">
    <mergeCell ref="A24:B24"/>
    <mergeCell ref="A32:J32"/>
    <mergeCell ref="A22:J22"/>
    <mergeCell ref="C6:J6"/>
    <mergeCell ref="A29:J29"/>
    <mergeCell ref="C5:J5"/>
    <mergeCell ref="A10:J10"/>
    <mergeCell ref="A6:B6"/>
    <mergeCell ref="C4:J4"/>
    <mergeCell ref="A31:J31"/>
    <mergeCell ref="A7:B7"/>
    <mergeCell ref="A25:B25"/>
    <mergeCell ref="C1:J1"/>
    <mergeCell ref="A30:J30"/>
    <mergeCell ref="A27:B27"/>
    <mergeCell ref="A11:J11"/>
    <mergeCell ref="A26:B26"/>
    <mergeCell ref="A5:B5"/>
    <mergeCell ref="A23:B23"/>
    <mergeCell ref="A8:B8"/>
    <mergeCell ref="C8:J8"/>
    <mergeCell ref="A4:B4"/>
    <mergeCell ref="A37:J37"/>
    <mergeCell ref="C7:J7"/>
    <mergeCell ref="A28:B28"/>
    <mergeCell ref="A12:J12"/>
    <mergeCell ref="A2:J2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2026-06-04T20:26:33Z</dcterms:created>
  <dcterms:modified xmlns:dcterms="http://purl.org/dc/terms/" xmlns:xsi="http://www.w3.org/2001/XMLSchema-instance" xsi:type="dcterms:W3CDTF">2026-06-04T20:26:33Z</dcterms:modified>
  <dc:title xmlns:dc="http://purl.org/dc/elements/1.1/">Risk / Finding Register (POA&amp;M) - EXAMPLE - L</dc:title>
  <cp:lastModifiedBy/>
</cp:coreProperties>
</file>
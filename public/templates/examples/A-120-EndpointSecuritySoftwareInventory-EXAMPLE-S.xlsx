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Endpoint Security Software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9-1-1 under the authority of the Hickory County Board of Commissioners.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9-1-1 Director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March 5, 2026      Next Review September 5, 2026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semi-annually by the 9-1-1 Director;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11" t="inlineStr">
        <is>
          <t>ID</t>
        </is>
      </c>
      <c r="B11" s="11" t="inlineStr">
        <is>
          <t>System / Endpoint Group</t>
        </is>
      </c>
      <c r="C11" s="11" t="inlineStr">
        <is>
          <t>Criticality</t>
        </is>
      </c>
      <c r="D11" s="11" t="inlineStr">
        <is>
          <t>Anti-malware (product, version, update status)</t>
        </is>
      </c>
      <c r="E11" s="11" t="inlineStr">
        <is>
          <t>Host firewall (product, version, status)</t>
        </is>
      </c>
      <c r="F11" s="11" t="inlineStr">
        <is>
          <t>EDR (product, version, update status)</t>
        </is>
      </c>
      <c r="G11" s="11" t="inlineStr">
        <is>
          <t>Layered protection (Meets / Partial / None)</t>
        </is>
      </c>
      <c r="H11" s="24" t="inlineStr">
        <is>
          <t>Owner (Role)</t>
        </is>
      </c>
      <c r="I11" s="24" t="inlineStr">
        <is>
          <t>Last Reviewed</t>
        </is>
      </c>
      <c r="J11" s="24" t="inlineStr">
        <is>
          <t>Next Review Due</t>
        </is>
      </c>
    </row>
    <row r="12" ht="19.5" customHeight="1">
      <c r="A12" s="12" t="inlineStr">
        <is>
          <t>ESS-01</t>
        </is>
      </c>
      <c r="B12" s="12" t="inlineStr">
        <is>
          <t>Dispatch workstations (5)</t>
        </is>
      </c>
      <c r="C12" s="12" t="inlineStr">
        <is>
          <t>Critical</t>
        </is>
      </c>
      <c r="D12" s="12" t="inlineStr">
        <is>
          <t>Vendor A AV 12.4, current</t>
        </is>
      </c>
      <c r="E12" s="12" t="inlineStr">
        <is>
          <t>Windows Defender Firewall, on</t>
        </is>
      </c>
      <c r="F12" s="12" t="inlineStr">
        <is>
          <t>Not deployed</t>
        </is>
      </c>
      <c r="G12" s="12" t="inlineStr">
        <is>
          <t>Partial</t>
        </is>
      </c>
      <c r="H12" s="21" t="inlineStr">
        <is>
          <t>County IT</t>
        </is>
      </c>
      <c r="I12" s="21" t="inlineStr">
        <is>
          <t>2026-03-05</t>
        </is>
      </c>
      <c r="J12" s="21" t="inlineStr">
        <is>
          <t>2026-09-05</t>
        </is>
      </c>
    </row>
    <row r="13" ht="19.5" customHeight="1">
      <c r="A13" s="12" t="inlineStr">
        <is>
          <t>ESS-02</t>
        </is>
      </c>
      <c r="B13" s="12" t="inlineStr">
        <is>
          <t>CAD / ProQA workstation</t>
        </is>
      </c>
      <c r="C13" s="12" t="inlineStr">
        <is>
          <t>Critical</t>
        </is>
      </c>
      <c r="D13" s="12" t="inlineStr">
        <is>
          <t>Vendor A AV 12.4, current</t>
        </is>
      </c>
      <c r="E13" s="12" t="inlineStr">
        <is>
          <t>OS firewall, on</t>
        </is>
      </c>
      <c r="F13" s="12" t="inlineStr">
        <is>
          <t>Not deployed</t>
        </is>
      </c>
      <c r="G13" s="12" t="inlineStr">
        <is>
          <t>Partial</t>
        </is>
      </c>
      <c r="H13" s="21" t="inlineStr">
        <is>
          <t>County IT</t>
        </is>
      </c>
      <c r="I13" s="21" t="inlineStr">
        <is>
          <t>2026-03-05</t>
        </is>
      </c>
      <c r="J13" s="21" t="inlineStr">
        <is>
          <t>2026-09-05</t>
        </is>
      </c>
    </row>
    <row r="14" ht="19.5" customHeight="1">
      <c r="A14" s="12" t="inlineStr">
        <is>
          <t>ESS-03</t>
        </is>
      </c>
      <c r="B14" s="12" t="inlineStr">
        <is>
          <t>Admin / records PC</t>
        </is>
      </c>
      <c r="C14" s="12" t="inlineStr">
        <is>
          <t>Standard</t>
        </is>
      </c>
      <c r="D14" s="12" t="inlineStr">
        <is>
          <t>Vendor A AV 12.4, current</t>
        </is>
      </c>
      <c r="E14" s="12" t="inlineStr">
        <is>
          <t>OS firewall, on</t>
        </is>
      </c>
      <c r="F14" s="12" t="inlineStr">
        <is>
          <t>n/a</t>
        </is>
      </c>
      <c r="G14" s="12" t="inlineStr">
        <is>
          <t>Meets</t>
        </is>
      </c>
      <c r="H14" s="21" t="inlineStr">
        <is>
          <t>County IT</t>
        </is>
      </c>
      <c r="I14" s="21" t="inlineStr">
        <is>
          <t>2026-03-05</t>
        </is>
      </c>
      <c r="J14" s="21" t="inlineStr">
        <is>
          <t>2026-09-05</t>
        </is>
      </c>
    </row>
    <row r="15" ht="19.5" customHeight="1">
      <c r="A15" s="12" t="inlineStr">
        <is>
          <t>ESS-04</t>
        </is>
      </c>
      <c r="B15" s="12" t="inlineStr">
        <is>
          <t>Shared file store (sheriff LAN)</t>
        </is>
      </c>
      <c r="C15" s="12" t="inlineStr">
        <is>
          <t>Critical</t>
        </is>
      </c>
      <c r="D15" s="12" t="inlineStr">
        <is>
          <t>Vendor A AV 12.4, current</t>
        </is>
      </c>
      <c r="E15" s="12" t="inlineStr">
        <is>
          <t>OS firewall, on</t>
        </is>
      </c>
      <c r="F15" s="12" t="inlineStr">
        <is>
          <t>Not deployed</t>
        </is>
      </c>
      <c r="G15" s="12" t="inlineStr">
        <is>
          <t>Partial</t>
        </is>
      </c>
      <c r="H15" s="21" t="inlineStr">
        <is>
          <t>County IT</t>
        </is>
      </c>
      <c r="I15" s="21" t="inlineStr">
        <is>
          <t>2026-03-05</t>
        </is>
      </c>
      <c r="J15" s="21" t="inlineStr">
        <is>
          <t>2026-09-05</t>
        </is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systems</t>
        </is>
      </c>
      <c r="B24" s="25" t="n"/>
      <c r="C24" s="13">
        <f>COUNTA(A12:A21)</f>
        <v/>
      </c>
    </row>
    <row r="25" ht="15" customHeight="1">
      <c r="A25" s="4" t="inlineStr">
        <is>
          <t>Critical systems</t>
        </is>
      </c>
      <c r="B25" s="25" t="n"/>
      <c r="C25" s="13">
        <f>COUNTIF(C12:C21,"Critical")</f>
        <v/>
      </c>
    </row>
    <row r="26" ht="15" customHeight="1">
      <c r="A26" s="4" t="inlineStr">
        <is>
          <t>Fully layered (Meets)</t>
        </is>
      </c>
      <c r="B26" s="25" t="n"/>
      <c r="C26" s="13">
        <f>COUNTIF(G12:G21,"Meets")</f>
        <v/>
      </c>
    </row>
    <row r="27" ht="15" customHeight="1">
      <c r="A27" s="4" t="inlineStr">
        <is>
          <t>Partial or no coverage</t>
        </is>
      </c>
      <c r="B27" s="25" t="n"/>
      <c r="C27" s="13">
        <f>COUNTIF(G12:G21,"Partial")+COUNTIF(G12:G21,"None")</f>
        <v/>
      </c>
    </row>
    <row r="28" ht="15" customHeight="1">
      <c r="A28" s="4" t="inlineStr">
        <is>
          <t>Critical systems with a coverage gap</t>
        </is>
      </c>
      <c r="B28" s="25" t="n"/>
      <c r="C28" s="13">
        <f>COUNTIFS(C12:C21,"Critical",G12:G21,"Partial")+COUNTIFS(C12:C21,"Critical",G12:G21,"None")</f>
        <v/>
      </c>
    </row>
    <row r="29" ht="15" customHeight="1">
      <c r="A29" s="4" t="inlineStr">
        <is>
          <t>Past due for review</t>
        </is>
      </c>
      <c r="B29" s="25" t="n"/>
      <c r="C29" s="13">
        <f>COUNTIF(J12:J21,"&lt;"&amp;TODAY())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§6.18, §6.19</t>
        </is>
      </c>
    </row>
    <row r="34" ht="15" customHeight="1">
      <c r="A34" s="3" t="inlineStr">
        <is>
          <t>NIST SP 800-53 Rev. 5: CM-8, SI-2, SI-3, SI-4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9-1-1 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15" t="inlineStr">
        <is>
          <t>March 5, 2026</t>
        </is>
      </c>
    </row>
    <row r="41" ht="34" customHeight="1">
      <c r="A41" s="12" t="inlineStr">
        <is>
          <t>County IT</t>
        </is>
      </c>
      <c r="B41" s="15" t="inlineStr">
        <is>
          <t>Marcus Reed</t>
        </is>
      </c>
      <c r="C41" s="15" t="inlineStr">
        <is>
          <t>/s/ Marcus Reed</t>
        </is>
      </c>
      <c r="D41" s="15" t="inlineStr">
        <is>
          <t>March 5, 2026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12" t="inlineStr">
        <is>
          <t>March 5, 2026</t>
        </is>
      </c>
      <c r="C45" s="12" t="inlineStr">
        <is>
          <t>9-1-1 Director</t>
        </is>
      </c>
      <c r="D45" s="12" t="inlineStr">
        <is>
          <t>Initial adoption.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2026-07-06T17:56:47Z</dcterms:modified>
  <cp:lastModifiedBy>Jason Jeffares</cp:lastModifiedBy>
  <cp:revision>0</cp:revision>
</cp:coreProperties>
</file>
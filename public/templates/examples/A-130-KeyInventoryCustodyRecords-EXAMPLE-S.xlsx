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Key Inventory &amp; Custody Records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the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Director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2026-02-15      Next Review 2027-02-15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Confidential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Director.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50.5" customHeight="1">
      <c r="A11" s="11" t="inlineStr">
        <is>
          <t>Key / Key-Class ID</t>
        </is>
      </c>
      <c r="B11" s="11" t="inlineStr">
        <is>
          <t>Key Type &amp; Purpose</t>
        </is>
      </c>
      <c r="C11" s="11" t="inlineStr">
        <is>
          <t>Systems Protected</t>
        </is>
      </c>
      <c r="D11" s="11" t="inlineStr">
        <is>
          <t>Custodian (Role)</t>
        </is>
      </c>
      <c r="E11" s="11" t="inlineStr">
        <is>
          <t>Backup Custodian (Role)</t>
        </is>
      </c>
      <c r="F11" s="11" t="inlineStr">
        <is>
          <t>Special-Use Flag</t>
        </is>
      </c>
      <c r="G11" s="11" t="inlineStr">
        <is>
          <t>Status</t>
        </is>
      </c>
      <c r="H11" s="24" t="inlineStr">
        <is>
          <t>Last Reviewed</t>
        </is>
      </c>
      <c r="I11" s="24" t="inlineStr">
        <is>
          <t>Next Review Due</t>
        </is>
      </c>
      <c r="J11" s="24" t="inlineStr">
        <is>
          <t>Notes / Escrow Reference</t>
        </is>
      </c>
    </row>
    <row r="12" ht="50.5" customHeight="1">
      <c r="A12" s="12" t="inlineStr">
        <is>
          <t>KEY-01</t>
        </is>
      </c>
      <c r="B12" s="12" t="inlineStr">
        <is>
          <t>Backup encryption key (AES-256)</t>
        </is>
      </c>
      <c r="C12" s="12" t="inlineStr">
        <is>
          <t>Nightly backups (NAS)</t>
        </is>
      </c>
      <c r="D12" s="12" t="inlineStr">
        <is>
          <t>Marcus Reed (County IT)</t>
        </is>
      </c>
      <c r="E12" s="12" t="inlineStr">
        <is>
          <t>Tracy Holloway (Director)</t>
        </is>
      </c>
      <c r="F12" s="12" t="inlineStr"/>
      <c r="G12" s="12" t="inlineStr">
        <is>
          <t>Active</t>
        </is>
      </c>
      <c r="H12" s="28">
        <v>46054</v>
      </c>
      <c r="I12" s="28">
        <v>46235</v>
      </c>
      <c r="J12" s="21" t="inlineStr">
        <is>
          <t>Escrowed: sealed copy off-site</t>
        </is>
      </c>
    </row>
    <row r="13" ht="50.5" customHeight="1">
      <c r="A13" s="12" t="inlineStr">
        <is>
          <t>KEY-02</t>
        </is>
      </c>
      <c r="B13" s="12" t="inlineStr">
        <is>
          <t>Database-at-rest key (CAD)</t>
        </is>
      </c>
      <c r="C13" s="12" t="inlineStr">
        <is>
          <t>CAD database</t>
        </is>
      </c>
      <c r="D13" s="12" t="inlineStr">
        <is>
          <t>Marcus Reed (County IT)</t>
        </is>
      </c>
      <c r="E13" s="12" t="inlineStr">
        <is>
          <t>Tracy Holloway (Director)</t>
        </is>
      </c>
      <c r="F13" s="12" t="inlineStr"/>
      <c r="G13" s="12" t="inlineStr">
        <is>
          <t>Active</t>
        </is>
      </c>
      <c r="H13" s="28">
        <v>46054</v>
      </c>
      <c r="I13" s="28">
        <v>46235</v>
      </c>
      <c r="J13" s="21" t="inlineStr">
        <is>
          <t>Escrowed with the CAD vendor</t>
        </is>
      </c>
    </row>
    <row r="14" ht="50.5" customHeight="1">
      <c r="A14" s="12" t="inlineStr">
        <is>
          <t>KEY-03</t>
        </is>
      </c>
      <c r="B14" s="12" t="inlineStr">
        <is>
          <t>TLS server key</t>
        </is>
      </c>
      <c r="C14" s="12" t="inlineStr">
        <is>
          <t>CAD web console</t>
        </is>
      </c>
      <c r="D14" s="12" t="inlineStr">
        <is>
          <t>Marcus Reed (County IT)</t>
        </is>
      </c>
      <c r="E14" s="12" t="inlineStr"/>
      <c r="F14" s="12" t="inlineStr"/>
      <c r="G14" s="12" t="inlineStr">
        <is>
          <t>Active</t>
        </is>
      </c>
      <c r="H14" s="28">
        <v>46054</v>
      </c>
      <c r="I14" s="28">
        <v>46235</v>
      </c>
      <c r="J14" s="21" t="inlineStr">
        <is>
          <t>No backup custodian yet (see review)</t>
        </is>
      </c>
    </row>
    <row r="15" ht="50.5" customHeight="1">
      <c r="A15" s="12" t="inlineStr">
        <is>
          <t>KEY-04</t>
        </is>
      </c>
      <c r="B15" s="12" t="inlineStr">
        <is>
          <t>Log-integrity signing key</t>
        </is>
      </c>
      <c r="C15" s="12" t="inlineStr">
        <is>
          <t>System logs</t>
        </is>
      </c>
      <c r="D15" s="12" t="inlineStr">
        <is>
          <t>Marcus Reed (County IT)</t>
        </is>
      </c>
      <c r="E15" s="12" t="inlineStr">
        <is>
          <t>Tracy Holloway (Director)</t>
        </is>
      </c>
      <c r="F15" s="12" t="inlineStr">
        <is>
          <t>Log-integrity</t>
        </is>
      </c>
      <c r="G15" s="12" t="inlineStr">
        <is>
          <t>Active</t>
        </is>
      </c>
      <c r="H15" s="28">
        <v>46054</v>
      </c>
      <c r="I15" s="28">
        <v>46158</v>
      </c>
      <c r="J15" s="21" t="inlineStr">
        <is>
          <t>Escrowed: sealed copy off-site</t>
        </is>
      </c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 (as of 2026-05-17)</t>
        </is>
      </c>
    </row>
    <row r="24" ht="15" customHeight="1">
      <c r="A24" s="4" t="inlineStr">
        <is>
          <t>Total keys / key-classes</t>
        </is>
      </c>
      <c r="B24" s="25" t="n"/>
      <c r="C24" s="13">
        <f>COUNTA(A12:A22)</f>
      </c>
    </row>
    <row r="25" ht="15" customHeight="1">
      <c r="A25" s="4" t="inlineStr">
        <is>
          <t>Active</t>
        </is>
      </c>
      <c r="B25" s="25" t="n"/>
      <c r="C25" s="13">
        <f>COUNTIF(G12:G22,"Active")</f>
      </c>
    </row>
    <row r="26" ht="15" customHeight="1">
      <c r="A26" s="4" t="inlineStr">
        <is>
          <t>Without a backup custodian</t>
        </is>
      </c>
      <c r="B26" s="25" t="n"/>
      <c r="C26" s="13">
        <f>COUNTIFS(A12:A22,"&lt;&gt;",E12:E22,"")</f>
      </c>
    </row>
    <row r="27" ht="15" customHeight="1">
      <c r="A27" s="4" t="inlineStr">
        <is>
          <t>Special-use keys</t>
        </is>
      </c>
      <c r="B27" s="25" t="n"/>
      <c r="C27" s="13">
        <f>COUNTIFS(A12:A22,"&lt;&gt;",F12:F22,"&lt;&gt;")</f>
      </c>
    </row>
    <row r="28" ht="15" customHeight="1">
      <c r="A28" s="4" t="inlineStr">
        <is>
          <t>Retired / superseded</t>
        </is>
      </c>
      <c r="B28" s="25" t="n"/>
      <c r="C28" s="13">
        <f>COUNTIF(G12:G22,"Retired")+COUNTIF(G12:G22,"Superseded")</f>
      </c>
    </row>
    <row r="29" ht="15" customHeight="1">
      <c r="A29" s="4" t="inlineStr">
        <is>
          <t>Past due for review</t>
        </is>
      </c>
      <c r="B29" s="25" t="n"/>
      <c r="C29" s="13">
        <f>SUMPRODUCT((A12:A22&lt;&gt;"")*(I12:I22&lt;&gt;"")*(I12:I22&lt;DATE(2026,5,17)))</f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§6.23.2, §6.23.3, §6.23.7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27">
        <v>46069</v>
      </c>
    </row>
    <row r="41" ht="34" customHeight="1">
      <c r="A41" s="12" t="inlineStr">
        <is>
          <t>County IT</t>
        </is>
      </c>
      <c r="B41" s="15" t="inlineStr">
        <is>
          <t>Marcus Reed</t>
        </is>
      </c>
      <c r="C41" s="15" t="inlineStr">
        <is>
          <t>/s/ Marcus Reed</t>
        </is>
      </c>
      <c r="D41" s="27">
        <v>46069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n">
        <v>1</v>
      </c>
      <c r="B45" s="26">
        <v>46069</v>
      </c>
      <c r="C45" s="12" t="inlineStr">
        <is>
          <t>Marcus Reed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>
      <c r="A47"/>
    </row>
    <row r="48"/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2026-07-20T20:45:17Z</dcterms:modified>
  <cp:lastModifiedBy/>
  <cp:revision>0</cp:revision>
  <dc:title xmlns:dc="http://purl.org/dc/elements/1.1/">Key Inventory &amp; Custody Records - EXAMPLE - S</dc:title>
</cp:coreProperties>
</file>
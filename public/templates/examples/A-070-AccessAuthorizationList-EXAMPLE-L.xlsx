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gis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Aptos"/>
      <family val="2"/>
      <color theme="1"/>
      <sz val="11"/>
      <scheme val="minor"/>
    </font>
    <font>
      <name val="Aptos"/>
      <b val="1"/>
      <color rgb="001B3A5C"/>
      <sz val="12"/>
    </font>
    <font>
      <name val="Aptos"/>
      <b val="1"/>
      <color rgb="00FFFFFF"/>
      <sz val="16"/>
    </font>
    <font>
      <name val="Aptos"/>
      <color rgb="00000000"/>
      <sz val="12"/>
    </font>
    <font>
      <name val="Aptos"/>
      <b val="1"/>
      <color rgb="00FFFFFF"/>
      <sz val="12"/>
    </font>
    <font>
      <name val="Aptos"/>
      <b val="1"/>
      <color rgb="00000000"/>
      <sz val="12"/>
    </font>
  </fonts>
  <fills count="4">
    <fill>
      <patternFill/>
    </fill>
    <fill>
      <patternFill patternType="gray125"/>
    </fill>
    <fill>
      <patternFill patternType="solid">
        <fgColor rgb="001B3A5C"/>
      </patternFill>
    </fill>
    <fill>
      <patternFill patternType="solid">
        <fgColor rgb="00EEF2F7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/>
    </xf>
    <xf numFmtId="0" fontId="0" fillId="0" borderId="4" pivotButton="0" quotePrefix="0" xfId="0"/>
    <xf numFmtId="0" fontId="0" fillId="0" borderId="5" pivotButton="0" quotePrefix="0" xfId="0"/>
    <xf numFmtId="0" fontId="1" fillId="3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  <xf numFmtId="0" fontId="4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drawing1.xml><?xml version="1.0" encoding="utf-8"?>
<wsDr xmlns="http://schemas.openxmlformats.org/drawingml/2006/spreadsheetDrawing">
  <oneCellAnchor>
    <from>
      <col>9</col>
      <colOff>0</colOff>
      <row>0</row>
      <rowOff>0</rowOff>
    </from>
    <ext cx="857250" cy="857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4476750" cy="16192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21</row>
      <rowOff>0</rowOff>
    </from>
    <ext cx="4476750" cy="16192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32</row>
      <rowOff>0</rowOff>
    </from>
    <ext cx="4476750" cy="16192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ptos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Aptos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40"/>
  <sheetViews>
    <sheetView workbookViewId="0">
      <selection activeCell="A1" sqref="A1"/>
    </sheetView>
  </sheetViews>
  <sheetFormatPr baseColWidth="8" defaultRowHeight="15"/>
  <cols>
    <col width="10" customWidth="1" min="1" max="1"/>
    <col width="30" customWidth="1" min="2" max="2"/>
    <col width="26" customWidth="1" min="3" max="3"/>
    <col width="22" customWidth="1" min="4" max="4"/>
    <col width="20" customWidth="1" min="5" max="5"/>
    <col width="14" customWidth="1" min="6" max="6"/>
    <col width="16" customWidth="1" min="7" max="7"/>
    <col width="12" customWidth="1" min="8" max="8"/>
    <col width="13" customWidth="1" min="9" max="9"/>
    <col width="13" customWidth="1" min="10" max="10"/>
  </cols>
  <sheetData>
    <row r="1">
      <c r="A1" s="1" t="inlineStr">
        <is>
          <t>Tri-River Regional 911 Center   ·   Worked Example   ·   SAMPLE</t>
        </is>
      </c>
    </row>
    <row r="2">
      <c r="A2" s="2" t="inlineStr">
        <is>
          <t>Access Authorization List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4" t="n"/>
    </row>
    <row r="4">
      <c r="A4" s="5" t="inlineStr">
        <is>
          <t>Authority</t>
        </is>
      </c>
      <c r="B4" s="4" t="n"/>
      <c r="C4" s="6" t="inlineStr">
        <is>
          <t>Adopted by Tri-River Regional 911 Center under the authority of Dr. Lisa Park, Director.</t>
        </is>
      </c>
      <c r="D4" s="3" t="n"/>
      <c r="E4" s="3" t="n"/>
      <c r="F4" s="3" t="n"/>
      <c r="G4" s="3" t="n"/>
      <c r="H4" s="3" t="n"/>
      <c r="I4" s="3" t="n"/>
      <c r="J4" s="4" t="n"/>
    </row>
    <row r="5">
      <c r="A5" s="5" t="inlineStr">
        <is>
          <t>Owner</t>
        </is>
      </c>
      <c r="B5" s="4" t="n"/>
      <c r="C5" s="6" t="inlineStr">
        <is>
          <t>Facilities &amp; Security Lead</t>
        </is>
      </c>
      <c r="D5" s="3" t="n"/>
      <c r="E5" s="3" t="n"/>
      <c r="F5" s="3" t="n"/>
      <c r="G5" s="3" t="n"/>
      <c r="H5" s="3" t="n"/>
      <c r="I5" s="3" t="n"/>
      <c r="J5" s="4" t="n"/>
    </row>
    <row r="6">
      <c r="A6" s="5" t="inlineStr">
        <is>
          <t>Version / Dates</t>
        </is>
      </c>
      <c r="B6" s="4" t="n"/>
      <c r="C6" s="6" t="inlineStr">
        <is>
          <t>Version 1.0      Effective Date 2026-03-02      Next Review 2027-03-02</t>
        </is>
      </c>
      <c r="D6" s="3" t="n"/>
      <c r="E6" s="3" t="n"/>
      <c r="F6" s="3" t="n"/>
      <c r="G6" s="3" t="n"/>
      <c r="H6" s="3" t="n"/>
      <c r="I6" s="3" t="n"/>
      <c r="J6" s="4" t="n"/>
    </row>
    <row r="7">
      <c r="A7" s="5" t="inlineStr">
        <is>
          <t>Classification</t>
        </is>
      </c>
      <c r="B7" s="4" t="n"/>
      <c r="C7" s="6" t="inlineStr">
        <is>
          <t>Confidential</t>
        </is>
      </c>
      <c r="D7" s="3" t="n"/>
      <c r="E7" s="3" t="n"/>
      <c r="F7" s="3" t="n"/>
      <c r="G7" s="3" t="n"/>
      <c r="H7" s="3" t="n"/>
      <c r="I7" s="3" t="n"/>
      <c r="J7" s="4" t="n"/>
    </row>
    <row r="8">
      <c r="A8" s="5" t="inlineStr">
        <is>
          <t>Review cadence</t>
        </is>
      </c>
      <c r="B8" s="4" t="n"/>
      <c r="C8" s="6" t="inlineStr">
        <is>
          <t>Reviewed quarterly by the Facilities &amp; Security Lead; updated as access changes.</t>
        </is>
      </c>
      <c r="D8" s="3" t="n"/>
      <c r="E8" s="3" t="n"/>
      <c r="F8" s="3" t="n"/>
      <c r="G8" s="3" t="n"/>
      <c r="H8" s="3" t="n"/>
      <c r="I8" s="3" t="n"/>
      <c r="J8" s="4" t="n"/>
    </row>
    <row r="10">
      <c r="A10" s="1" t="inlineStr">
        <is>
          <t>Authorization Entries</t>
        </is>
      </c>
    </row>
    <row r="11">
      <c r="A11" s="7" t="inlineStr">
        <is>
          <t>ID</t>
        </is>
      </c>
      <c r="B11" s="7" t="inlineStr">
        <is>
          <t>Authorized Individual (Name &amp; Role)</t>
        </is>
      </c>
      <c r="C11" s="7" t="inlineStr">
        <is>
          <t>Area(s) Authorized</t>
        </is>
      </c>
      <c r="D11" s="7" t="inlineStr">
        <is>
          <t>Credential Type &amp; ID</t>
        </is>
      </c>
      <c r="E11" s="7" t="inlineStr">
        <is>
          <t>Authorized By (Role)</t>
        </is>
      </c>
      <c r="F11" s="7" t="inlineStr">
        <is>
          <t>Date Issued</t>
        </is>
      </c>
      <c r="G11" s="7" t="inlineStr">
        <is>
          <t>Date Revoked / Deprovisioned</t>
        </is>
      </c>
      <c r="H11" s="7" t="inlineStr">
        <is>
          <t>Status</t>
        </is>
      </c>
      <c r="I11" s="7" t="inlineStr">
        <is>
          <t>Last Reviewed</t>
        </is>
      </c>
      <c r="J11" s="7" t="inlineStr">
        <is>
          <t>Next Review Due</t>
        </is>
      </c>
    </row>
    <row r="12">
      <c r="A12" s="8" t="inlineStr">
        <is>
          <t>AUTH-001</t>
        </is>
      </c>
      <c r="B12" s="8" t="inlineStr">
        <is>
          <t>Director: Dr. Lisa Park</t>
        </is>
      </c>
      <c r="C12" s="8" t="inlineStr">
        <is>
          <t>All areas (group D)</t>
        </is>
      </c>
      <c r="D12" s="8" t="inlineStr">
        <is>
          <t>Badge #3001</t>
        </is>
      </c>
      <c r="E12" s="8" t="inlineStr">
        <is>
          <t>Facilities &amp; Security Lead</t>
        </is>
      </c>
      <c r="F12" s="8" t="inlineStr">
        <is>
          <t>2025-07-01</t>
        </is>
      </c>
      <c r="G12" s="8" t="inlineStr"/>
      <c r="H12" s="8" t="inlineStr">
        <is>
          <t>Active</t>
        </is>
      </c>
      <c r="I12" s="8" t="inlineStr">
        <is>
          <t>2026-03-01</t>
        </is>
      </c>
      <c r="J12" s="8" t="inlineStr">
        <is>
          <t>2026-06-01</t>
        </is>
      </c>
    </row>
    <row r="13">
      <c r="A13" s="8" t="inlineStr">
        <is>
          <t>AUTH-002</t>
        </is>
      </c>
      <c r="B13" s="8" t="inlineStr">
        <is>
          <t>Operations Supervisor (on file)</t>
        </is>
      </c>
      <c r="C13" s="8" t="inlineStr">
        <is>
          <t>Dispatch; server (group C)</t>
        </is>
      </c>
      <c r="D13" s="8" t="inlineStr">
        <is>
          <t>Badge #3010</t>
        </is>
      </c>
      <c r="E13" s="8" t="inlineStr">
        <is>
          <t>Facilities &amp; Security Lead</t>
        </is>
      </c>
      <c r="F13" s="8" t="inlineStr">
        <is>
          <t>2025-07-01</t>
        </is>
      </c>
      <c r="G13" s="8" t="inlineStr"/>
      <c r="H13" s="8" t="inlineStr">
        <is>
          <t>Active</t>
        </is>
      </c>
      <c r="I13" s="8" t="inlineStr">
        <is>
          <t>2026-03-01</t>
        </is>
      </c>
      <c r="J13" s="8" t="inlineStr">
        <is>
          <t>2026-06-01</t>
        </is>
      </c>
    </row>
    <row r="14">
      <c r="A14" s="8" t="inlineStr">
        <is>
          <t>AUTH-003</t>
        </is>
      </c>
      <c r="B14" s="8" t="inlineStr">
        <is>
          <t>Dispatcher (on file)</t>
        </is>
      </c>
      <c r="C14" s="8" t="inlineStr">
        <is>
          <t>Dispatch floor (group A)</t>
        </is>
      </c>
      <c r="D14" s="8" t="inlineStr">
        <is>
          <t>Badge #3120</t>
        </is>
      </c>
      <c r="E14" s="8" t="inlineStr">
        <is>
          <t>Facilities &amp; Security Lead</t>
        </is>
      </c>
      <c r="F14" s="8" t="inlineStr">
        <is>
          <t>2025-07-01</t>
        </is>
      </c>
      <c r="G14" s="8" t="inlineStr"/>
      <c r="H14" s="8" t="inlineStr">
        <is>
          <t>Active</t>
        </is>
      </c>
      <c r="I14" s="8" t="inlineStr">
        <is>
          <t>2026-03-01</t>
        </is>
      </c>
      <c r="J14" s="8" t="inlineStr">
        <is>
          <t>2026-06-01</t>
        </is>
      </c>
    </row>
    <row r="15">
      <c r="A15" s="8" t="inlineStr">
        <is>
          <t>AUTH-004</t>
        </is>
      </c>
      <c r="B15" s="8" t="inlineStr">
        <is>
          <t>IT staff (on file)</t>
        </is>
      </c>
      <c r="C15" s="8" t="inlineStr">
        <is>
          <t>Data center; IDF/MDF (group C)</t>
        </is>
      </c>
      <c r="D15" s="8" t="inlineStr">
        <is>
          <t>Badge #3205 + PIN</t>
        </is>
      </c>
      <c r="E15" s="8" t="inlineStr">
        <is>
          <t>Facilities &amp; Security Lead</t>
        </is>
      </c>
      <c r="F15" s="8" t="inlineStr">
        <is>
          <t>2025-07-01</t>
        </is>
      </c>
      <c r="G15" s="8" t="inlineStr"/>
      <c r="H15" s="8" t="inlineStr">
        <is>
          <t>Active</t>
        </is>
      </c>
      <c r="I15" s="8" t="inlineStr">
        <is>
          <t>2026-03-01</t>
        </is>
      </c>
      <c r="J15" s="8" t="inlineStr">
        <is>
          <t>2026-06-01</t>
        </is>
      </c>
    </row>
    <row r="16">
      <c r="A16" s="8" t="inlineStr">
        <is>
          <t>AUTH-005</t>
        </is>
      </c>
      <c r="B16" s="8" t="inlineStr">
        <is>
          <t>Info Security Analyst (on file)</t>
        </is>
      </c>
      <c r="C16" s="8" t="inlineStr">
        <is>
          <t>Data center (group C)</t>
        </is>
      </c>
      <c r="D16" s="8" t="inlineStr">
        <is>
          <t>Badge #3208 + PIN</t>
        </is>
      </c>
      <c r="E16" s="8" t="inlineStr">
        <is>
          <t>Facilities &amp; Security Lead</t>
        </is>
      </c>
      <c r="F16" s="8" t="inlineStr">
        <is>
          <t>2025-07-01</t>
        </is>
      </c>
      <c r="G16" s="8" t="inlineStr"/>
      <c r="H16" s="8" t="inlineStr">
        <is>
          <t>Active</t>
        </is>
      </c>
      <c r="I16" s="8" t="inlineStr">
        <is>
          <t>2026-03-01</t>
        </is>
      </c>
      <c r="J16" s="8" t="inlineStr">
        <is>
          <t>2026-06-01</t>
        </is>
      </c>
    </row>
    <row r="17">
      <c r="A17" s="8" t="inlineStr">
        <is>
          <t>AUTH-006</t>
        </is>
      </c>
      <c r="B17" s="8" t="inlineStr">
        <is>
          <t>Vendor, integrator (on file)</t>
        </is>
      </c>
      <c r="C17" s="8" t="inlineStr">
        <is>
          <t>Data center (escorted)</t>
        </is>
      </c>
      <c r="D17" s="8" t="inlineStr">
        <is>
          <t>Temp badge #T-22</t>
        </is>
      </c>
      <c r="E17" s="8" t="inlineStr">
        <is>
          <t>Facilities &amp; Security Lead</t>
        </is>
      </c>
      <c r="F17" s="8" t="inlineStr">
        <is>
          <t>2026-02-05</t>
        </is>
      </c>
      <c r="G17" s="8" t="inlineStr">
        <is>
          <t>2026-02-05</t>
        </is>
      </c>
      <c r="H17" s="8" t="inlineStr">
        <is>
          <t>Revoked</t>
        </is>
      </c>
      <c r="I17" s="8" t="inlineStr">
        <is>
          <t>2026-02-05</t>
        </is>
      </c>
      <c r="J17" s="8" t="inlineStr"/>
    </row>
    <row r="18">
      <c r="A18" s="8" t="inlineStr">
        <is>
          <t>AUTH-007</t>
        </is>
      </c>
      <c r="B18" s="8" t="inlineStr">
        <is>
          <t>Former IT staff (on file)</t>
        </is>
      </c>
      <c r="C18" s="8" t="inlineStr">
        <is>
          <t>Data center (group C)</t>
        </is>
      </c>
      <c r="D18" s="8" t="inlineStr">
        <is>
          <t>Badge #3199 (disabled)</t>
        </is>
      </c>
      <c r="E18" s="8" t="inlineStr">
        <is>
          <t>Facilities &amp; Security Lead</t>
        </is>
      </c>
      <c r="F18" s="8" t="inlineStr">
        <is>
          <t>2023-01-01</t>
        </is>
      </c>
      <c r="G18" s="8" t="inlineStr">
        <is>
          <t>2026-01-10</t>
        </is>
      </c>
      <c r="H18" s="8" t="inlineStr">
        <is>
          <t>Revoked</t>
        </is>
      </c>
      <c r="I18" s="8" t="inlineStr">
        <is>
          <t>2026-01-10</t>
        </is>
      </c>
      <c r="J18" s="8" t="inlineStr"/>
    </row>
    <row r="20">
      <c r="A20" s="1" t="inlineStr">
        <is>
          <t>Summary</t>
        </is>
      </c>
    </row>
    <row r="21">
      <c r="A21" s="9" t="inlineStr">
        <is>
          <t>Total entries</t>
        </is>
      </c>
      <c r="C21" s="10">
        <f>COUNTA(A12:A18)</f>
        <v/>
      </c>
    </row>
    <row r="22">
      <c r="A22" s="9" t="inlineStr">
        <is>
          <t>Active</t>
        </is>
      </c>
      <c r="C22" s="10">
        <f>COUNTIF(H12:H18,"Active")</f>
        <v/>
      </c>
    </row>
    <row r="23">
      <c r="A23" s="9" t="inlineStr">
        <is>
          <t>Suspended</t>
        </is>
      </c>
      <c r="C23" s="10">
        <f>COUNTIF(H12:H18,"Suspended")</f>
        <v/>
      </c>
    </row>
    <row r="24">
      <c r="A24" s="9" t="inlineStr">
        <is>
          <t>Revoked</t>
        </is>
      </c>
      <c r="C24" s="10">
        <f>COUNTIF(H12:H18,"Revoked")</f>
        <v/>
      </c>
    </row>
    <row r="25">
      <c r="A25" s="9" t="inlineStr">
        <is>
          <t>Past due for review</t>
        </is>
      </c>
      <c r="C25" s="10">
        <f>COUNTIF(J12:J18,"&lt;"&amp;TODAY())</f>
        <v/>
      </c>
    </row>
    <row r="27">
      <c r="A27" s="1" t="inlineStr">
        <is>
          <t>Source Authority</t>
        </is>
      </c>
    </row>
    <row r="28">
      <c r="A28" s="9" t="inlineStr">
        <is>
          <t>NENA-STA-040.2-2024: §6.1.2, §6.1.3, §6.1.7</t>
        </is>
      </c>
    </row>
    <row r="29">
      <c r="A29" s="9" t="inlineStr">
        <is>
          <t>NIST SP 800-53 Rev. 5: PE-2, PE-3</t>
        </is>
      </c>
    </row>
    <row r="30">
      <c r="A30" s="9" t="inlineStr">
        <is>
          <t>Indiana statutes and administrative code: 240 IAC 5: IDACS Security (where IDACS equipment is in a listed area)</t>
        </is>
      </c>
    </row>
    <row r="31">
      <c r="A31" s="9" t="inlineStr">
        <is>
          <t>CJIS Security Policy v5.9: §5.9.1 (Physically Secure Location; CJIS-regulated data in scope, via IDACS)</t>
        </is>
      </c>
    </row>
    <row r="33">
      <c r="A33" s="1" t="inlineStr">
        <is>
          <t>Approval Signatures</t>
        </is>
      </c>
    </row>
    <row r="34">
      <c r="A34" s="7" t="inlineStr">
        <is>
          <t>Role</t>
        </is>
      </c>
      <c r="B34" s="7" t="inlineStr">
        <is>
          <t>Name</t>
        </is>
      </c>
      <c r="C34" s="7" t="inlineStr">
        <is>
          <t>Signature</t>
        </is>
      </c>
      <c r="D34" s="7" t="inlineStr">
        <is>
          <t>Date</t>
        </is>
      </c>
    </row>
    <row r="35">
      <c r="A35" s="8" t="inlineStr">
        <is>
          <t>Director</t>
        </is>
      </c>
      <c r="B35" s="8" t="inlineStr">
        <is>
          <t>Dr. Lisa Park</t>
        </is>
      </c>
      <c r="C35" s="8" t="inlineStr">
        <is>
          <t>Dr. Lisa Park</t>
        </is>
      </c>
      <c r="D35" s="8" t="inlineStr">
        <is>
          <t>2026-03-02</t>
        </is>
      </c>
    </row>
    <row r="36">
      <c r="A36" s="8" t="inlineStr">
        <is>
          <t>Facilities &amp; Security Lead</t>
        </is>
      </c>
      <c r="B36" s="8" t="inlineStr">
        <is>
          <t>(on file)</t>
        </is>
      </c>
      <c r="C36" s="8" t="inlineStr">
        <is>
          <t>(on file)</t>
        </is>
      </c>
      <c r="D36" s="8" t="inlineStr">
        <is>
          <t>2026-03-02</t>
        </is>
      </c>
    </row>
    <row r="38">
      <c r="A38" s="1" t="inlineStr">
        <is>
          <t>Revision History</t>
        </is>
      </c>
    </row>
    <row r="39">
      <c r="A39" s="7" t="inlineStr">
        <is>
          <t>Version</t>
        </is>
      </c>
      <c r="B39" s="7" t="inlineStr">
        <is>
          <t>Date</t>
        </is>
      </c>
      <c r="C39" s="7" t="inlineStr">
        <is>
          <t>Author</t>
        </is>
      </c>
      <c r="D39" s="7" t="inlineStr">
        <is>
          <t>Summary of Change</t>
        </is>
      </c>
    </row>
    <row r="40">
      <c r="A40" s="8" t="inlineStr">
        <is>
          <t>1.0</t>
        </is>
      </c>
      <c r="B40" s="8" t="inlineStr">
        <is>
          <t>2026-03-02</t>
        </is>
      </c>
      <c r="C40" s="8" t="inlineStr">
        <is>
          <t>Facilities &amp; Security Lead</t>
        </is>
      </c>
      <c r="D40" s="8" t="inlineStr">
        <is>
          <t>Initial issue and adoption</t>
        </is>
      </c>
    </row>
  </sheetData>
  <mergeCells count="21">
    <mergeCell ref="C6:J6"/>
    <mergeCell ref="A29:J29"/>
    <mergeCell ref="A20:J20"/>
    <mergeCell ref="C5:J5"/>
    <mergeCell ref="A1:H1"/>
    <mergeCell ref="A38:J38"/>
    <mergeCell ref="A10:J10"/>
    <mergeCell ref="A28:J28"/>
    <mergeCell ref="A6:B6"/>
    <mergeCell ref="C4:J4"/>
    <mergeCell ref="A31:J31"/>
    <mergeCell ref="A7:B7"/>
    <mergeCell ref="A30:J30"/>
    <mergeCell ref="A5:B5"/>
    <mergeCell ref="A8:B8"/>
    <mergeCell ref="C8:J8"/>
    <mergeCell ref="A4:B4"/>
    <mergeCell ref="C7:J7"/>
    <mergeCell ref="A27:J27"/>
    <mergeCell ref="A2:J2"/>
    <mergeCell ref="A33:J33"/>
  </mergeCells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2026-06-17T19:37:06Z</dcterms:created>
  <dcterms:modified xmlns:dcterms="http://purl.org/dc/terms/" xmlns:xsi="http://www.w3.org/2001/XMLSchema-instance" xsi:type="dcterms:W3CDTF">2026-06-17T19:37:06Z</dcterms:modified>
</cp:coreProperties>
</file>
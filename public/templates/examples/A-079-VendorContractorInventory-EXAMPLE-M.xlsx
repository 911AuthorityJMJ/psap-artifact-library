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1619250" cy="161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Wabash Valley Communications   ·   Worked Example   ·   SAMPLE</t>
        </is>
      </c>
    </row>
    <row r="2" ht="26" customHeight="1">
      <c r="A2" s="22" t="inlineStr">
        <is>
          <t>Vendor &amp; Contractor Inventory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Wabash Valley Communications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Security Coordinator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1.3      Effective Date 2026-01-20      Next Review 2026-04-20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Restricted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quarterly by the Security Coordinator; reconciled against active services each cycle.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50" customHeight="1">
      <c r="A11" s="11" t="inlineStr">
        <is>
          <t>Vendor ID</t>
        </is>
      </c>
      <c r="B11" s="11" t="inlineStr">
        <is>
          <t>Vendor / Service</t>
        </is>
      </c>
      <c r="C11" s="11" t="inlineStr">
        <is>
          <t>Service type &amp; access scope (systems/data reached; contract or SLA ref)</t>
        </is>
      </c>
      <c r="D11" s="11" t="inlineStr">
        <is>
          <t>Vendor contact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VEN-001</t>
        </is>
      </c>
      <c r="B12" s="12" t="inlineStr">
        <is>
          <t>Primary CAD vendor (hosted)</t>
        </is>
      </c>
      <c r="C12" s="12" t="inlineStr">
        <is>
          <t>Hosted CAD; incident data; remote admin support</t>
        </is>
      </c>
      <c r="D12" s="12" t="inlineStr">
        <is>
          <t>Vendor Security Contact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VEN-002</t>
        </is>
      </c>
      <c r="B13" s="12" t="inlineStr">
        <is>
          <t>Secondary CAD / failover</t>
        </is>
      </c>
      <c r="C13" s="12" t="inlineStr">
        <is>
          <t>Redundant CAD; standby</t>
        </is>
      </c>
      <c r="D13" s="12" t="inlineStr">
        <is>
          <t>Vendor Security Contact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VEN-003</t>
        </is>
      </c>
      <c r="B14" s="12" t="inlineStr">
        <is>
          <t>Dual ESInet providers</t>
        </is>
      </c>
      <c r="C14" s="12" t="inlineStr">
        <is>
          <t>Call routing/ALI across two providers</t>
        </is>
      </c>
      <c r="D14" s="12" t="inlineStr">
        <is>
          <t>Provider NOC (role)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VEN-004</t>
        </is>
      </c>
      <c r="B15" s="12" t="inlineStr">
        <is>
          <t>Cloud GIS service</t>
        </is>
      </c>
      <c r="C15" s="12" t="inlineStr">
        <is>
          <t>Mapping/GIS layers; reads address data</t>
        </is>
      </c>
      <c r="D15" s="12" t="inlineStr">
        <is>
          <t>Vendor Support (role)</t>
        </is>
      </c>
      <c r="E15" s="12" t="inlineStr">
        <is>
          <t>Under Review</t>
        </is>
      </c>
      <c r="F15" s="12" t="inlineStr">
        <is>
          <t>2026-03-01</t>
        </is>
      </c>
      <c r="G15" s="12" t="inlineStr">
        <is>
          <t>2026-04-15</t>
        </is>
      </c>
    </row>
    <row r="16" ht="19.5" customHeight="1">
      <c r="A16" s="12" t="inlineStr">
        <is>
          <t>VEN-009</t>
        </is>
      </c>
      <c r="B16" s="12" t="inlineStr">
        <is>
          <t>Managed firewall vendor</t>
        </is>
      </c>
      <c r="C16" s="12" t="inlineStr">
        <is>
          <t>Perimeter management; privileged remote access</t>
        </is>
      </c>
      <c r="D16" s="12" t="inlineStr">
        <is>
          <t>Vendor Security Contact</t>
        </is>
      </c>
      <c r="E16" s="12" t="inlineStr">
        <is>
          <t>Active</t>
        </is>
      </c>
      <c r="F16" s="12" t="inlineStr">
        <is>
          <t>2026-03-01</t>
        </is>
      </c>
      <c r="G16" s="12" t="inlineStr">
        <is>
          <t>2026-06-01</t>
        </is>
      </c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Under review</t>
        </is>
      </c>
      <c r="B26" s="20" t="n"/>
      <c r="C26" s="13">
        <f>COUNTIF(E12:E21,"Under Review")</f>
        <v/>
      </c>
    </row>
    <row r="27" ht="15" customHeight="1">
      <c r="A27" s="4" t="inlineStr">
        <is>
          <t>Retired</t>
        </is>
      </c>
      <c r="B27" s="20" t="n"/>
      <c r="C27" s="13">
        <f>COUNTIF(E12:E21,"Retired")</f>
        <v/>
      </c>
    </row>
    <row r="28" ht="15" customHeight="1">
      <c r="A28" s="4" t="inlineStr">
        <is>
          <t>Decommissioned</t>
        </is>
      </c>
      <c r="B28" s="20" t="n"/>
      <c r="C28" s="13">
        <f>COUNTIF(E12:E21,"Decommissioned")</f>
        <v/>
      </c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§5.6, §10</t>
        </is>
      </c>
    </row>
    <row r="34" ht="15" customHeight="1">
      <c r="A34" s="3" t="inlineStr">
        <is>
          <t>NIST SP 800-53 Rev. 5: CA-3, SA-9, SR-6</t>
        </is>
      </c>
    </row>
    <row r="35" ht="15" customHeight="1">
      <c r="A35" s="3" t="inlineStr">
        <is>
          <t>Indiana statutes and administrative code: IC 36-8-16.7 (third-party connectivity using 911 funds)</t>
        </is>
      </c>
    </row>
    <row r="36" ht="15" customHeight="1">
      <c r="A36" s="3" t="inlineStr">
        <is>
          <t>CJIS Security Policy v5.9: §5.1 (CJIS Security Addendum: for vendors managing CJIS-regulated systems)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(Director)</t>
        </is>
      </c>
      <c r="B40" s="15" t="inlineStr">
        <is>
          <t>Anthony Reyes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(Security Coordinator)</t>
        </is>
      </c>
      <c r="B41" s="15" t="inlineStr">
        <is>
          <t>Sam Boykin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1.3</t>
        </is>
      </c>
      <c r="B45" s="12" t="inlineStr">
        <is>
          <t>2026-01-20</t>
        </is>
      </c>
      <c r="C45" s="12" t="inlineStr">
        <is>
          <t>Security Coordinator</t>
        </is>
      </c>
      <c r="D45" s="12" t="inlineStr">
        <is>
          <t>Quarterly reconciliation; added managed firewall vendor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
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utoFilterDateGrouping="1"/>
  </bookViews>
  <sheets>
    <sheet xmlns:r="http://schemas.openxmlformats.org/officeDocument/2006/relationships" name="Register" sheetId="1" state="visible" r:id="rId1"/>
  </sheets>
  <definedNames>
    <definedName name="_xlnm.Print_Titles" localSheetId="0">Register!$11:$11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001B3A5C"/>
      <sz val="12"/>
    </font>
    <font>
      <name val="Aptos"/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001B3A5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  <xf numFmtId="0" fontId="7" fillId="0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5334000" cy="3905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7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3" customWidth="1" min="1" max="1"/>
    <col width="26" customWidth="1" min="2" max="2"/>
    <col width="40" customWidth="1" min="3" max="3"/>
    <col width="20" customWidth="1" min="4" max="4"/>
    <col width="16" customWidth="1" min="5" max="5"/>
    <col width="14" customWidth="1" min="6" max="7"/>
  </cols>
  <sheetData>
    <row r="1" ht="25.5" customHeight="1">
      <c r="A1" s="21" t="inlineStr">
        <is>
          <t>Wabash Valley Communications   ·   Worked Example   ·   SAMPLE</t>
        </is>
      </c>
    </row>
    <row r="2" ht="26" customHeight="1">
      <c r="A2" s="22" t="inlineStr">
        <is>
          <t>Vendor &amp; Contractor Inventory</t>
        </is>
      </c>
    </row>
    <row r="3" ht="15" customHeight="1">
      <c r="A3" s="8" t="inlineStr">
        <is>
          <t>Authority</t>
        </is>
      </c>
      <c r="B3" s="18" t="n"/>
      <c r="C3" s="7" t="inlineStr">
        <is>
          <t>Adopted by Wabash Valley Communications under the authority of the Executive Director.</t>
        </is>
      </c>
      <c r="D3" s="19" t="n"/>
      <c r="E3" s="19" t="n"/>
      <c r="F3" s="19" t="n"/>
      <c r="G3" s="18" t="n"/>
    </row>
    <row r="4" ht="15" customHeight="1">
      <c r="A4" s="8" t="inlineStr">
        <is>
          <t>Owner</t>
        </is>
      </c>
      <c r="B4" s="18" t="n"/>
      <c r="C4" s="7" t="inlineStr">
        <is>
          <t>Security Coordinator</t>
        </is>
      </c>
      <c r="D4" s="19" t="n"/>
      <c r="E4" s="19" t="n"/>
      <c r="F4" s="19" t="n"/>
      <c r="G4" s="18" t="n"/>
    </row>
    <row r="5" ht="15" customHeight="1">
      <c r="A5" s="8" t="inlineStr">
        <is>
          <t>Version / Dates</t>
        </is>
      </c>
      <c r="B5" s="18" t="n"/>
      <c r="C5" s="7" t="inlineStr">
        <is>
          <t>Version 1.3      Effective Date 2026-01-20      Next Review 2026-04-20</t>
        </is>
      </c>
      <c r="D5" s="19" t="n"/>
      <c r="E5" s="19" t="n"/>
      <c r="F5" s="19" t="n"/>
      <c r="G5" s="18" t="n"/>
    </row>
    <row r="6" ht="43.5" customHeight="1">
      <c r="A6" s="8" t="inlineStr">
        <is>
          <t>Classification</t>
        </is>
      </c>
      <c r="B6" s="18" t="n"/>
      <c r="C6" s="6" t="inlineStr">
        <is>
          <t>Restricted</t>
        </is>
      </c>
      <c r="D6" s="19" t="n"/>
      <c r="E6" s="19" t="n"/>
      <c r="F6" s="19" t="n"/>
      <c r="G6" s="18" t="n"/>
    </row>
    <row r="7" ht="15" customHeight="1">
      <c r="A7" s="8" t="inlineStr">
        <is>
          <t>Review cadence</t>
        </is>
      </c>
      <c r="B7" s="18" t="n"/>
      <c r="C7" s="7" t="inlineStr">
        <is>
          <t>Reviewed quarterly by the Security Coordinator; reconciled against active services each cycle.</t>
        </is>
      </c>
      <c r="D7" s="19" t="n"/>
      <c r="E7" s="19" t="n"/>
      <c r="F7" s="19" t="n"/>
      <c r="G7" s="18" t="n"/>
    </row>
    <row r="9" ht="15" customHeight="1">
      <c r="A9" s="5" t="inlineStr">
        <is>
          <t>Register Entries</t>
        </is>
      </c>
    </row>
    <row r="10" ht="32" customHeight="1">
      <c r="A10" s="9" t="n"/>
    </row>
    <row r="11" ht="50" customHeight="1">
      <c r="A11" s="11" t="inlineStr">
        <is>
          <t>Vendor ID</t>
        </is>
      </c>
      <c r="B11" s="11" t="inlineStr">
        <is>
          <t>Vendor / Service</t>
        </is>
      </c>
      <c r="C11" s="11" t="inlineStr">
        <is>
          <t>Service type &amp; access scope (systems/data reached; contract or SLA ref)</t>
        </is>
      </c>
      <c r="D11" s="11" t="inlineStr">
        <is>
          <t>Vendor contact (role)</t>
        </is>
      </c>
      <c r="E11" s="11" t="inlineStr">
        <is>
          <t>Status</t>
        </is>
      </c>
      <c r="F11" s="11" t="inlineStr">
        <is>
          <t>Last reconciled</t>
        </is>
      </c>
      <c r="G11" s="11" t="inlineStr">
        <is>
          <t>Next review due</t>
        </is>
      </c>
    </row>
    <row r="12" ht="34.7" customHeight="1">
      <c r="A12" s="12" t="inlineStr">
        <is>
          <t>VEN-001</t>
        </is>
      </c>
      <c r="B12" s="12" t="inlineStr">
        <is>
          <t>Primary CAD vendor (hosted)</t>
        </is>
      </c>
      <c r="C12" s="12" t="inlineStr">
        <is>
          <t>Hosted CAD; incident data; remote admin support</t>
        </is>
      </c>
      <c r="D12" s="12" t="inlineStr">
        <is>
          <t>Vendor Security Contact</t>
        </is>
      </c>
      <c r="E12" s="12" t="inlineStr">
        <is>
          <t>Active</t>
        </is>
      </c>
      <c r="F12" s="23">
        <v>46082</v>
      </c>
      <c r="G12" s="23">
        <v>46174</v>
      </c>
    </row>
    <row r="13" ht="34.7" customHeight="1">
      <c r="A13" s="12" t="inlineStr">
        <is>
          <t>VEN-002</t>
        </is>
      </c>
      <c r="B13" s="12" t="inlineStr">
        <is>
          <t>Secondary CAD / failover</t>
        </is>
      </c>
      <c r="C13" s="12" t="inlineStr">
        <is>
          <t>Redundant CAD; standby</t>
        </is>
      </c>
      <c r="D13" s="12" t="inlineStr">
        <is>
          <t>Vendor Security Contact</t>
        </is>
      </c>
      <c r="E13" s="12" t="inlineStr">
        <is>
          <t>Active</t>
        </is>
      </c>
      <c r="F13" s="23">
        <v>46082</v>
      </c>
      <c r="G13" s="23">
        <v>46174</v>
      </c>
    </row>
    <row r="14" ht="19.5" customHeight="1">
      <c r="A14" s="12" t="inlineStr">
        <is>
          <t>VEN-003</t>
        </is>
      </c>
      <c r="B14" s="12" t="inlineStr">
        <is>
          <t>Dual ESInet providers</t>
        </is>
      </c>
      <c r="C14" s="12" t="inlineStr">
        <is>
          <t>Call routing/ALI across two providers</t>
        </is>
      </c>
      <c r="D14" s="12" t="inlineStr">
        <is>
          <t>Provider NOC (role)</t>
        </is>
      </c>
      <c r="E14" s="12" t="inlineStr">
        <is>
          <t>Active</t>
        </is>
      </c>
      <c r="F14" s="23">
        <v>46082</v>
      </c>
      <c r="G14" s="23">
        <v>46174</v>
      </c>
    </row>
    <row r="15" ht="34.7" customHeight="1">
      <c r="A15" s="12" t="inlineStr">
        <is>
          <t>VEN-004</t>
        </is>
      </c>
      <c r="B15" s="12" t="inlineStr">
        <is>
          <t>Cloud GIS service</t>
        </is>
      </c>
      <c r="C15" s="12" t="inlineStr">
        <is>
          <t>Mapping/GIS layers; reads address data</t>
        </is>
      </c>
      <c r="D15" s="12" t="inlineStr">
        <is>
          <t>Vendor Support (role)</t>
        </is>
      </c>
      <c r="E15" s="12" t="inlineStr">
        <is>
          <t>Under Review</t>
        </is>
      </c>
      <c r="F15" s="23">
        <v>46082</v>
      </c>
      <c r="G15" s="23">
        <v>46127</v>
      </c>
    </row>
    <row r="16" ht="34.7" customHeight="1">
      <c r="A16" s="12" t="inlineStr">
        <is>
          <t>VEN-009</t>
        </is>
      </c>
      <c r="B16" s="12" t="inlineStr">
        <is>
          <t>Managed firewall vendor</t>
        </is>
      </c>
      <c r="C16" s="12" t="inlineStr">
        <is>
          <t>Perimeter management; privileged remote access</t>
        </is>
      </c>
      <c r="D16" s="12" t="inlineStr">
        <is>
          <t>Vendor Security Contact</t>
        </is>
      </c>
      <c r="E16" s="12" t="inlineStr">
        <is>
          <t>Active</t>
        </is>
      </c>
      <c r="F16" s="23">
        <v>46082</v>
      </c>
      <c r="G16" s="23">
        <v>46091</v>
      </c>
    </row>
    <row r="17" ht="19.5" customHeight="1">
      <c r="A17" s="12" t="n"/>
      <c r="B17" s="12" t="n"/>
      <c r="C17" s="12" t="n"/>
      <c r="D17" s="12" t="n"/>
      <c r="E17" s="12" t="n"/>
      <c r="F17" s="12" t="n"/>
      <c r="G17" s="12" t="n"/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</row>
    <row r="23" ht="15" customHeight="1">
      <c r="A23" s="5" t="inlineStr">
        <is>
          <t>Summary (as of 2026-03-11)</t>
        </is>
      </c>
    </row>
    <row r="24" ht="15" customHeight="1">
      <c r="A24" s="4" t="inlineStr">
        <is>
          <t>Total entries</t>
        </is>
      </c>
      <c r="B24" s="20" t="n"/>
      <c r="C24" s="13">
        <f>COUNTA(A12:A21)</f>
      </c>
    </row>
    <row r="25" ht="15" customHeight="1">
      <c r="A25" s="4" t="inlineStr">
        <is>
          <t>Active</t>
        </is>
      </c>
      <c r="B25" s="20" t="n"/>
      <c r="C25" s="13">
        <f>COUNTIF(E12:E21,"Active")</f>
      </c>
    </row>
    <row r="26" ht="15" customHeight="1">
      <c r="A26" s="4" t="inlineStr">
        <is>
          <t>Under review</t>
        </is>
      </c>
      <c r="B26" s="20" t="n"/>
      <c r="C26" s="13">
        <f>COUNTIF(E12:E21,"Under Review")</f>
      </c>
    </row>
    <row r="27" ht="15" customHeight="1">
      <c r="A27" s="4" t="inlineStr">
        <is>
          <t>Retired</t>
        </is>
      </c>
      <c r="B27" s="20" t="n"/>
      <c r="C27" s="13">
        <f>COUNTIF(E12:E21,"Retired")</f>
      </c>
    </row>
    <row r="28" ht="15" customHeight="1">
      <c r="A28" s="4" t="inlineStr">
        <is>
          <t>Decommissioned</t>
        </is>
      </c>
      <c r="B28" s="20" t="n"/>
      <c r="C28" s="13">
        <f>COUNTIF(E12:E21,"Decommissioned")</f>
      </c>
    </row>
    <row r="29" ht="15" customHeight="1">
      <c r="A29" s="4" t="inlineStr">
        <is>
          <t>Past due for review</t>
        </is>
      </c>
      <c r="B29" s="20" t="n"/>
      <c r="C29" s="13">
        <f>COUNTIF(G12:G21,"&lt;"&amp;DATE(2026,3,11))</f>
      </c>
    </row>
    <row r="31" ht="15" customHeight="1">
      <c r="A31" s="5" t="inlineStr">
        <is>
          <t>Source Authority</t>
        </is>
      </c>
    </row>
    <row r="32" ht="15" customHeight="1">
      <c r="A32" s="9" t="n"/>
    </row>
    <row r="33" ht="15" customHeight="1">
      <c r="A33" s="3" t="inlineStr">
        <is>
          <t>NENA-STA-040.2-2024: §5.6, §10</t>
        </is>
      </c>
    </row>
    <row r="34" ht="15" customHeight="1">
      <c r="A34" s="3" t="inlineStr">
        <is>
          <t>NIST SP 800-53 Rev. 5: CA-3, SA-9, SR-6</t>
        </is>
      </c>
    </row>
    <row r="35" ht="15" customHeight="1">
      <c r="A35" s="3" t="inlineStr">
        <is>
          <t>Indiana statutes and administrative code: IC 36-8-16.7 (third-party connectivity using 911 funds)</t>
        </is>
      </c>
    </row>
    <row r="36" ht="15" customHeight="1">
      <c r="A36" s="3" t="inlineStr">
        <is>
          <t>CJIS Security Policy v5.9: §5.1 (CJIS Security Addendum: for vendors managing CJIS-regulated systems)</t>
        </is>
      </c>
    </row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50.5" customHeight="1">
      <c r="A40" s="12" t="inlineStr">
        <is>
          <t>Approving official (Director)</t>
        </is>
      </c>
      <c r="B40" s="15" t="inlineStr">
        <is>
          <t>Anthony Reyes</t>
        </is>
      </c>
      <c r="C40" s="15" t="inlineStr">
        <is>
          <t>(on file)</t>
        </is>
      </c>
      <c r="D40" s="24">
        <v>46082</v>
      </c>
    </row>
    <row r="41" ht="50.5" customHeight="1">
      <c r="A41" s="12" t="inlineStr">
        <is>
          <t>Owner (Security Coordinator)</t>
        </is>
      </c>
      <c r="B41" s="15" t="inlineStr">
        <is>
          <t>Sam Boykin</t>
        </is>
      </c>
      <c r="C41" s="15" t="inlineStr">
        <is>
          <t>(on file)</t>
        </is>
      </c>
      <c r="D41" s="24">
        <v>46082</v>
      </c>
    </row>
    <row r="43" ht="15" customHeight="1">
      <c r="A43" s="5" t="inlineStr">
        <is>
          <t>Revision History</t>
        </is>
      </c>
    </row>
    <row r="44" ht="30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66.4" customHeight="1">
      <c r="A45" s="12" t="inlineStr">
        <is>
          <t>1.3</t>
        </is>
      </c>
      <c r="B45" s="23">
        <v>46042</v>
      </c>
      <c r="C45" s="12" t="inlineStr">
        <is>
          <t>Security Coordinator</t>
        </is>
      </c>
      <c r="D45" s="12" t="inlineStr">
        <is>
          <t>Quarterly reconciliation; added managed firewall vendor</t>
        </is>
      </c>
      <c r="E45" s="12" t="n"/>
      <c r="F45" s="12" t="n"/>
      <c r="G45" s="12" t="n"/>
    </row>
    <row r="47">
      <c r="A47"/>
    </row>
  </sheetData>
  <mergeCells count="29">
    <mergeCell ref="A32:G32"/>
    <mergeCell ref="A24:B24"/>
    <mergeCell ref="C6:G6"/>
    <mergeCell ref="A35:G35"/>
    <mergeCell ref="A38:G38"/>
    <mergeCell ref="C5:G5"/>
    <mergeCell ref="A43:G43"/>
    <mergeCell ref="A6:B6"/>
    <mergeCell ref="A10:G10"/>
    <mergeCell ref="C4:G4"/>
    <mergeCell ref="A9:G9"/>
    <mergeCell ref="A25:B25"/>
    <mergeCell ref="A31:G31"/>
    <mergeCell ref="A7:B7"/>
    <mergeCell ref="A34:G34"/>
    <mergeCell ref="A27:B27"/>
    <mergeCell ref="A3:B3"/>
    <mergeCell ref="A36:G36"/>
    <mergeCell ref="A26:B26"/>
    <mergeCell ref="A1:G1"/>
    <mergeCell ref="A5:B5"/>
    <mergeCell ref="A4:B4"/>
    <mergeCell ref="C7:G7"/>
    <mergeCell ref="A29:B29"/>
    <mergeCell ref="A28:B28"/>
    <mergeCell ref="A2:G2"/>
    <mergeCell ref="A33:G33"/>
    <mergeCell ref="C3:G3"/>
    <mergeCell ref="A23:G23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2026-06-18T18:23:40Z</dcterms:modified>
  <cp:lastModifiedBy/>
  <cp:revision>0</cp:revision>
  <dc:title xmlns:dc="http://purl.org/dc/elements/1.1/">Vendor &amp; Contractor Inventory - EXAMPLE - M</dc:title>
</cp:coreProperties>
</file>
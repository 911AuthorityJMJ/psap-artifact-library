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Certificate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Dr. Lisa Park,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2026-01-26      Next Review 2027-01-26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Information Security Analyst; entries kept current as certificates are issued, renewed, or retired.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30" customHeight="1">
      <c r="A11" s="11" t="inlineStr">
        <is>
          <t>Cert ID</t>
        </is>
      </c>
      <c r="B11" s="11" t="inlineStr">
        <is>
          <t>Subject / System</t>
        </is>
      </c>
      <c r="C11" s="11" t="inlineStr">
        <is>
          <t>Issuer / CA</t>
        </is>
      </c>
      <c r="D11" s="11" t="inlineStr">
        <is>
          <t>Type (public CA / internal CA / self-signed)</t>
        </is>
      </c>
      <c r="E11" s="11" t="inlineStr">
        <is>
          <t>Issue Date</t>
        </is>
      </c>
      <c r="F11" s="11" t="inlineStr">
        <is>
          <t>Expiration Date</t>
        </is>
      </c>
      <c r="G11" s="11" t="inlineStr">
        <is>
          <t>Days to Expiry / Renewal Trigger</t>
        </is>
      </c>
      <c r="H11" s="24" t="inlineStr">
        <is>
          <t>Self-signed Exception (justification)</t>
        </is>
      </c>
      <c r="I11" s="24" t="inlineStr">
        <is>
          <t>Owner (Role)</t>
        </is>
      </c>
      <c r="J11" s="24" t="inlineStr">
        <is>
          <t>DR Availability</t>
        </is>
      </c>
    </row>
    <row r="12" ht="19.5" customHeight="1">
      <c r="A12" s="12" t="inlineStr">
        <is>
          <t>CERT-01</t>
        </is>
      </c>
      <c r="B12" s="12" t="inlineStr">
        <is>
          <t>CAD (Center A/B)</t>
        </is>
      </c>
      <c r="C12" s="12" t="inlineStr">
        <is>
          <t>Public CA</t>
        </is>
      </c>
      <c r="D12" s="12" t="inlineStr">
        <is>
          <t>Public CA</t>
        </is>
      </c>
      <c r="E12" s="26" t="n">
        <v>46030</v>
      </c>
      <c r="F12" s="26" t="n">
        <v>46395</v>
      </c>
      <c r="G12" s="12" t="inlineStr">
        <is>
          <t>60-day auto-reminder</t>
        </is>
      </c>
      <c r="H12" s="21" t="inlineStr">
        <is>
          <t>n/a</t>
        </is>
      </c>
      <c r="I12" s="21" t="inlineStr">
        <is>
          <t>Information Security Analyst</t>
        </is>
      </c>
      <c r="J12" s="21" t="inlineStr">
        <is>
          <t>Replicated to DR site</t>
        </is>
      </c>
    </row>
    <row r="13" ht="19.5" customHeight="1">
      <c r="A13" s="12" t="inlineStr">
        <is>
          <t>CERT-02</t>
        </is>
      </c>
      <c r="B13" s="12" t="inlineStr">
        <is>
          <t>GIS cluster</t>
        </is>
      </c>
      <c r="C13" s="12" t="inlineStr">
        <is>
          <t>Public CA</t>
        </is>
      </c>
      <c r="D13" s="12" t="inlineStr">
        <is>
          <t>Public CA</t>
        </is>
      </c>
      <c r="E13" s="26" t="n">
        <v>46034</v>
      </c>
      <c r="F13" s="26" t="n">
        <v>46399</v>
      </c>
      <c r="G13" s="12" t="inlineStr">
        <is>
          <t>60-day auto-reminder</t>
        </is>
      </c>
      <c r="H13" s="21" t="inlineStr">
        <is>
          <t>n/a</t>
        </is>
      </c>
      <c r="I13" s="21" t="inlineStr">
        <is>
          <t>Information Security Analyst</t>
        </is>
      </c>
      <c r="J13" s="21" t="inlineStr">
        <is>
          <t>Replicated to DR site</t>
        </is>
      </c>
    </row>
    <row r="14" ht="19.5" customHeight="1">
      <c r="A14" s="12" t="inlineStr">
        <is>
          <t>CERT-03</t>
        </is>
      </c>
      <c r="B14" s="12" t="inlineStr">
        <is>
          <t>RMS integration</t>
        </is>
      </c>
      <c r="C14" s="12" t="inlineStr">
        <is>
          <t>Internal CA</t>
        </is>
      </c>
      <c r="D14" s="12" t="inlineStr">
        <is>
          <t>Internal CA</t>
        </is>
      </c>
      <c r="E14" s="26" t="n">
        <v>46055</v>
      </c>
      <c r="F14" s="26" t="n">
        <v>46420</v>
      </c>
      <c r="G14" s="12" t="inlineStr">
        <is>
          <t>30-day auto-reminder</t>
        </is>
      </c>
      <c r="H14" s="21" t="inlineStr">
        <is>
          <t>n/a</t>
        </is>
      </c>
      <c r="I14" s="21" t="inlineStr">
        <is>
          <t>Information Security Analyst</t>
        </is>
      </c>
      <c r="J14" s="21" t="inlineStr">
        <is>
          <t>Replicated to DR site</t>
        </is>
      </c>
    </row>
    <row r="15" ht="19.5" customHeight="1">
      <c r="A15" s="12" t="inlineStr">
        <is>
          <t>CERT-04</t>
        </is>
      </c>
      <c r="B15" s="12" t="inlineStr">
        <is>
          <t>ALI interface</t>
        </is>
      </c>
      <c r="C15" s="12" t="inlineStr">
        <is>
          <t>Internal CA</t>
        </is>
      </c>
      <c r="D15" s="12" t="inlineStr">
        <is>
          <t>Internal CA</t>
        </is>
      </c>
      <c r="E15" s="26" t="n">
        <v>46011</v>
      </c>
      <c r="F15" s="26" t="n">
        <v>46376</v>
      </c>
      <c r="G15" s="12" t="inlineStr">
        <is>
          <t>30-day auto-reminder</t>
        </is>
      </c>
      <c r="H15" s="21" t="inlineStr">
        <is>
          <t>n/a</t>
        </is>
      </c>
      <c r="I15" s="21" t="inlineStr">
        <is>
          <t>Information Security Analyst</t>
        </is>
      </c>
      <c r="J15" s="21" t="inlineStr">
        <is>
          <t>Replicated to DR site</t>
        </is>
      </c>
    </row>
    <row r="16" ht="19.5" customHeight="1">
      <c r="A16" s="12" t="inlineStr">
        <is>
          <t>CERT-05</t>
        </is>
      </c>
      <c r="B16" s="12" t="inlineStr">
        <is>
          <t>Video/streaming</t>
        </is>
      </c>
      <c r="C16" s="12" t="inlineStr">
        <is>
          <t>Public CA</t>
        </is>
      </c>
      <c r="D16" s="12" t="inlineStr">
        <is>
          <t>Public CA</t>
        </is>
      </c>
      <c r="E16" s="26" t="n">
        <v>46042</v>
      </c>
      <c r="F16" s="26" t="n">
        <v>46407</v>
      </c>
      <c r="G16" s="12" t="inlineStr">
        <is>
          <t>60-day auto-reminder</t>
        </is>
      </c>
      <c r="H16" s="21" t="inlineStr">
        <is>
          <t>n/a</t>
        </is>
      </c>
      <c r="I16" s="21" t="inlineStr">
        <is>
          <t>Information Security Analyst</t>
        </is>
      </c>
      <c r="J16" s="21" t="inlineStr">
        <is>
          <t>Replicated to DR site</t>
        </is>
      </c>
    </row>
    <row r="17" ht="19.5" customHeight="1">
      <c r="A17" s="12" t="inlineStr">
        <is>
          <t>CERT-06</t>
        </is>
      </c>
      <c r="B17" s="12" t="inlineStr">
        <is>
          <t>Admin consoles</t>
        </is>
      </c>
      <c r="C17" s="12" t="inlineStr">
        <is>
          <t>Internal CA</t>
        </is>
      </c>
      <c r="D17" s="12" t="inlineStr">
        <is>
          <t>Internal CA</t>
        </is>
      </c>
      <c r="E17" s="26" t="n">
        <v>46027</v>
      </c>
      <c r="F17" s="26" t="n">
        <v>46392</v>
      </c>
      <c r="G17" s="12" t="inlineStr">
        <is>
          <t>30-day auto-reminder</t>
        </is>
      </c>
      <c r="H17" s="21" t="inlineStr">
        <is>
          <t>n/a</t>
        </is>
      </c>
      <c r="I17" s="21" t="inlineStr">
        <is>
          <t>Information Security Analyst</t>
        </is>
      </c>
      <c r="J17" s="21" t="inlineStr">
        <is>
          <t>Replicated to DR site</t>
        </is>
      </c>
    </row>
    <row r="18" ht="19.5" customHeight="1">
      <c r="A18" s="12" t="inlineStr">
        <is>
          <t>CERT-07</t>
        </is>
      </c>
      <c r="B18" s="12" t="inlineStr">
        <is>
          <t>API gateway</t>
        </is>
      </c>
      <c r="C18" s="12" t="inlineStr">
        <is>
          <t>Public CA</t>
        </is>
      </c>
      <c r="D18" s="12" t="inlineStr">
        <is>
          <t>Public CA</t>
        </is>
      </c>
      <c r="E18" s="26" t="n">
        <v>45976</v>
      </c>
      <c r="F18" s="26" t="n">
        <v>46341</v>
      </c>
      <c r="G18" s="12" t="inlineStr">
        <is>
          <t>60-day auto-reminder</t>
        </is>
      </c>
      <c r="H18" s="21" t="inlineStr">
        <is>
          <t>n/a</t>
        </is>
      </c>
      <c r="I18" s="21" t="inlineStr">
        <is>
          <t>Information Security Analyst</t>
        </is>
      </c>
      <c r="J18" s="21" t="inlineStr">
        <is>
          <t>Replicated to DR site</t>
        </is>
      </c>
    </row>
    <row r="19" ht="19.5" customHeight="1">
      <c r="A19" s="12" t="inlineStr">
        <is>
          <t>CERT-08</t>
        </is>
      </c>
      <c r="B19" s="12" t="inlineStr">
        <is>
          <t>Internal test service</t>
        </is>
      </c>
      <c r="C19" s="12" t="inlineStr">
        <is>
          <t>Self-signed</t>
        </is>
      </c>
      <c r="D19" s="12" t="inlineStr">
        <is>
          <t>Self-signed</t>
        </is>
      </c>
      <c r="E19" s="26" t="n">
        <v>45940</v>
      </c>
      <c r="F19" s="26" t="n">
        <v>46305</v>
      </c>
      <c r="G19" s="12" t="inlineStr">
        <is>
          <t>30-day auto-reminder</t>
        </is>
      </c>
      <c r="H19" s="21" t="inlineStr">
        <is>
          <t>Test environment only; not in production path</t>
        </is>
      </c>
      <c r="I19" s="21" t="inlineStr">
        <is>
          <t>Information Security Analyst</t>
        </is>
      </c>
      <c r="J19" s="21" t="inlineStr">
        <is>
          <t>Replicated to DR site</t>
        </is>
      </c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certificates</t>
        </is>
      </c>
      <c r="B24" s="25" t="n"/>
      <c r="C24" s="13">
        <f>COUNTA(A12:A21)</f>
        <v/>
      </c>
    </row>
    <row r="25" ht="15" customHeight="1">
      <c r="A25" s="4" t="inlineStr">
        <is>
          <t>Expiring within 30 days</t>
        </is>
      </c>
      <c r="B25" s="25" t="n"/>
      <c r="C25" s="13">
        <f>COUNTIFS(F12:F21,"&gt;="&amp;TODAY(),F12:F21,"&lt;="&amp;(TODAY()+30))</f>
        <v/>
      </c>
    </row>
    <row r="26" ht="15" customHeight="1">
      <c r="A26" s="4" t="inlineStr">
        <is>
          <t>Expiring within 60 days</t>
        </is>
      </c>
      <c r="B26" s="25" t="n"/>
      <c r="C26" s="13">
        <f>COUNTIFS(F12:F21,"&gt;="&amp;TODAY(),F12:F21,"&lt;="&amp;(TODAY()+60))</f>
        <v/>
      </c>
    </row>
    <row r="27" ht="15" customHeight="1">
      <c r="A27" s="4" t="inlineStr">
        <is>
          <t>Self-signed exceptions</t>
        </is>
      </c>
      <c r="B27" s="25" t="n"/>
      <c r="C27" s="13">
        <f>COUNTIF(D12:D21,"*self-signed*")</f>
        <v/>
      </c>
    </row>
    <row r="28" ht="15" customHeight="1">
      <c r="A28" s="4" t="inlineStr">
        <is>
          <t>Without DR backup</t>
        </is>
      </c>
      <c r="B28" s="25" t="n"/>
      <c r="C28" s="13">
        <f>COUNTIF(J12:J21,"None")</f>
        <v/>
      </c>
    </row>
    <row r="29" ht="15" customHeight="1">
      <c r="A29" s="4" t="inlineStr">
        <is>
          <t>Expired / past due</t>
        </is>
      </c>
      <c r="B29" s="25" t="n"/>
      <c r="C29" s="13">
        <f>COUNTIF(F12:F21,"&lt;"&amp;TODAY())</f>
        <v/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§6.23.2, §6.23.3, §6.23.5, §6.23.8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Dr. Lisa Park</t>
        </is>
      </c>
      <c r="C40" s="15" t="inlineStr">
        <is>
          <t>/s/ Dr. Lisa Park</t>
        </is>
      </c>
      <c r="D40" s="15" t="inlineStr">
        <is>
          <t>2026-01-26</t>
        </is>
      </c>
    </row>
    <row r="41" ht="34" customHeight="1">
      <c r="A41" s="12" t="inlineStr">
        <is>
          <t>Information Security Analyst</t>
        </is>
      </c>
      <c r="B41" s="15" t="inlineStr">
        <is>
          <t>Raymond Osei</t>
        </is>
      </c>
      <c r="C41" s="15" t="inlineStr">
        <is>
          <t>/s/ Raymond Osei</t>
        </is>
      </c>
      <c r="D41" s="15" t="inlineStr">
        <is>
          <t>2026-01-26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</t>
        </is>
      </c>
      <c r="B45" s="12" t="inlineStr">
        <is>
          <t>2026-01-26</t>
        </is>
      </c>
      <c r="C45" s="12" t="inlineStr">
        <is>
          <t>Raymond Osei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 ht="30" customHeight="1">
      <c r="A47" s="2" t="n"/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2026-07-14T16:18:19Z</dcterms:modified>
  <cp:lastModifiedBy>Jason Jeffares</cp:lastModifiedBy>
  <cp:revision>0</cp:revision>
</cp:coreProperties>
</file>
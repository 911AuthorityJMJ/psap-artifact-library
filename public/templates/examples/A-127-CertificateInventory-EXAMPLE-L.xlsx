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Register" sheetId="1" state="visible" r:id="rId1"/>
  </sheets>
  <definedNames>
    <definedName name="_xlnm.Print_Titles" localSheetId="0">Register!$11:$11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164" fontId="4" fillId="0" borderId="1" applyAlignment="1" pivotButton="0" quotePrefix="0" xfId="0">
      <alignment horizontal="left" vertical="top" wrapText="1"/>
    </xf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11</row>
      <rowOff>0</rowOff>
    </from>
    <ext cx="5334000" cy="3905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5334000" cy="3905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39</row>
      <rowOff>0</rowOff>
    </from>
    <ext cx="5334000" cy="3905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Certificate Inventory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Tri-River Regional 911 Center under the authority of Dr. Lisa Park, Director.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Information Security Analyst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      Effective Date 2026-01-26      Next Review 2027-01-26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Restricted</t>
        </is>
      </c>
      <c r="D6" s="23" t="n"/>
      <c r="E6" s="23" t="n"/>
      <c r="F6" s="23" t="n"/>
      <c r="G6" s="22" t="n"/>
    </row>
    <row r="7" ht="34.7" customHeight="1">
      <c r="A7" s="8" t="inlineStr">
        <is>
          <t>Review cadence</t>
        </is>
      </c>
      <c r="B7" s="22" t="n"/>
      <c r="C7" s="7" t="inlineStr">
        <is>
          <t>Reviewed at least quarterly by the Information Security Analyst; entries kept current as certificates are issued, renewed, or retired.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inlineStr"/>
    </row>
    <row r="11" ht="50.5" customHeight="1">
      <c r="A11" s="11" t="inlineStr">
        <is>
          <t>Cert ID</t>
        </is>
      </c>
      <c r="B11" s="11" t="inlineStr">
        <is>
          <t>Subject / System</t>
        </is>
      </c>
      <c r="C11" s="11" t="inlineStr">
        <is>
          <t>Issuer / CA</t>
        </is>
      </c>
      <c r="D11" s="11" t="inlineStr">
        <is>
          <t>Type (public CA / internal CA / self-signed)</t>
        </is>
      </c>
      <c r="E11" s="11" t="inlineStr">
        <is>
          <t>Issue Date</t>
        </is>
      </c>
      <c r="F11" s="11" t="inlineStr">
        <is>
          <t>Expiration Date</t>
        </is>
      </c>
      <c r="G11" s="11" t="inlineStr">
        <is>
          <t>Days to Expiry / Renewal Trigger</t>
        </is>
      </c>
      <c r="H11" s="24" t="inlineStr">
        <is>
          <t>Self-signed Exception (justification)</t>
        </is>
      </c>
      <c r="I11" s="24" t="inlineStr">
        <is>
          <t>Owner (Role)</t>
        </is>
      </c>
      <c r="J11" s="24" t="inlineStr">
        <is>
          <t>DR Availability</t>
        </is>
      </c>
    </row>
    <row r="12" ht="50.5" customHeight="1">
      <c r="A12" s="12" t="inlineStr">
        <is>
          <t>CERT-01</t>
        </is>
      </c>
      <c r="B12" s="12" t="inlineStr">
        <is>
          <t>CAD (Center A/B)</t>
        </is>
      </c>
      <c r="C12" s="12" t="inlineStr">
        <is>
          <t>Public CA</t>
        </is>
      </c>
      <c r="D12" s="12" t="inlineStr">
        <is>
          <t>Public CA</t>
        </is>
      </c>
      <c r="E12" s="26" t="n">
        <v>46030</v>
      </c>
      <c r="F12" s="26" t="n">
        <v>46395</v>
      </c>
      <c r="G12" s="12" t="inlineStr">
        <is>
          <t>60-day auto-reminder</t>
        </is>
      </c>
      <c r="H12" s="21" t="inlineStr">
        <is>
          <t>n/a</t>
        </is>
      </c>
      <c r="I12" s="21" t="inlineStr">
        <is>
          <t>Information Security Analyst</t>
        </is>
      </c>
      <c r="J12" s="21" t="inlineStr">
        <is>
          <t>Replicated to DR site</t>
        </is>
      </c>
    </row>
    <row r="13" ht="50.5" customHeight="1">
      <c r="A13" s="12" t="inlineStr">
        <is>
          <t>CERT-02</t>
        </is>
      </c>
      <c r="B13" s="12" t="inlineStr">
        <is>
          <t>GIS cluster</t>
        </is>
      </c>
      <c r="C13" s="12" t="inlineStr">
        <is>
          <t>Public CA</t>
        </is>
      </c>
      <c r="D13" s="12" t="inlineStr">
        <is>
          <t>Public CA</t>
        </is>
      </c>
      <c r="E13" s="26" t="n">
        <v>46034</v>
      </c>
      <c r="F13" s="26" t="n">
        <v>46399</v>
      </c>
      <c r="G13" s="12" t="inlineStr">
        <is>
          <t>60-day auto-reminder</t>
        </is>
      </c>
      <c r="H13" s="21" t="inlineStr">
        <is>
          <t>n/a</t>
        </is>
      </c>
      <c r="I13" s="21" t="inlineStr">
        <is>
          <t>Information Security Analyst</t>
        </is>
      </c>
      <c r="J13" s="21" t="inlineStr">
        <is>
          <t>Replicated to DR site</t>
        </is>
      </c>
    </row>
    <row r="14" ht="50.5" customHeight="1">
      <c r="A14" s="12" t="inlineStr">
        <is>
          <t>CERT-03</t>
        </is>
      </c>
      <c r="B14" s="12" t="inlineStr">
        <is>
          <t>RMS integration</t>
        </is>
      </c>
      <c r="C14" s="12" t="inlineStr">
        <is>
          <t>Internal CA</t>
        </is>
      </c>
      <c r="D14" s="12" t="inlineStr">
        <is>
          <t>Internal CA</t>
        </is>
      </c>
      <c r="E14" s="26" t="n">
        <v>46055</v>
      </c>
      <c r="F14" s="26" t="n">
        <v>46420</v>
      </c>
      <c r="G14" s="12" t="inlineStr">
        <is>
          <t>30-day auto-reminder</t>
        </is>
      </c>
      <c r="H14" s="21" t="inlineStr">
        <is>
          <t>n/a</t>
        </is>
      </c>
      <c r="I14" s="21" t="inlineStr">
        <is>
          <t>Information Security Analyst</t>
        </is>
      </c>
      <c r="J14" s="21" t="inlineStr">
        <is>
          <t>Replicated to DR site</t>
        </is>
      </c>
    </row>
    <row r="15" ht="50.5" customHeight="1">
      <c r="A15" s="12" t="inlineStr">
        <is>
          <t>CERT-04</t>
        </is>
      </c>
      <c r="B15" s="12" t="inlineStr">
        <is>
          <t>ALI interface</t>
        </is>
      </c>
      <c r="C15" s="12" t="inlineStr">
        <is>
          <t>Internal CA</t>
        </is>
      </c>
      <c r="D15" s="12" t="inlineStr">
        <is>
          <t>Internal CA</t>
        </is>
      </c>
      <c r="E15" s="26" t="n">
        <v>46011</v>
      </c>
      <c r="F15" s="26" t="n">
        <v>46376</v>
      </c>
      <c r="G15" s="12" t="inlineStr">
        <is>
          <t>30-day auto-reminder</t>
        </is>
      </c>
      <c r="H15" s="21" t="inlineStr">
        <is>
          <t>n/a</t>
        </is>
      </c>
      <c r="I15" s="21" t="inlineStr">
        <is>
          <t>Information Security Analyst</t>
        </is>
      </c>
      <c r="J15" s="21" t="inlineStr">
        <is>
          <t>Replicated to DR site</t>
        </is>
      </c>
    </row>
    <row r="16" ht="50.5" customHeight="1">
      <c r="A16" s="12" t="inlineStr">
        <is>
          <t>CERT-05</t>
        </is>
      </c>
      <c r="B16" s="12" t="inlineStr">
        <is>
          <t>Video/streaming</t>
        </is>
      </c>
      <c r="C16" s="12" t="inlineStr">
        <is>
          <t>Public CA</t>
        </is>
      </c>
      <c r="D16" s="12" t="inlineStr">
        <is>
          <t>Public CA</t>
        </is>
      </c>
      <c r="E16" s="26" t="n">
        <v>46042</v>
      </c>
      <c r="F16" s="26" t="n">
        <v>46407</v>
      </c>
      <c r="G16" s="12" t="inlineStr">
        <is>
          <t>60-day auto-reminder</t>
        </is>
      </c>
      <c r="H16" s="21" t="inlineStr">
        <is>
          <t>n/a</t>
        </is>
      </c>
      <c r="I16" s="21" t="inlineStr">
        <is>
          <t>Information Security Analyst</t>
        </is>
      </c>
      <c r="J16" s="21" t="inlineStr">
        <is>
          <t>Replicated to DR site</t>
        </is>
      </c>
    </row>
    <row r="17" ht="50.5" customHeight="1">
      <c r="A17" s="12" t="inlineStr">
        <is>
          <t>CERT-06</t>
        </is>
      </c>
      <c r="B17" s="12" t="inlineStr">
        <is>
          <t>Admin consoles</t>
        </is>
      </c>
      <c r="C17" s="12" t="inlineStr">
        <is>
          <t>Internal CA</t>
        </is>
      </c>
      <c r="D17" s="12" t="inlineStr">
        <is>
          <t>Internal CA</t>
        </is>
      </c>
      <c r="E17" s="26" t="n">
        <v>46027</v>
      </c>
      <c r="F17" s="26" t="n">
        <v>46392</v>
      </c>
      <c r="G17" s="12" t="inlineStr">
        <is>
          <t>30-day auto-reminder</t>
        </is>
      </c>
      <c r="H17" s="21" t="inlineStr">
        <is>
          <t>n/a</t>
        </is>
      </c>
      <c r="I17" s="21" t="inlineStr">
        <is>
          <t>Information Security Analyst</t>
        </is>
      </c>
      <c r="J17" s="21" t="inlineStr">
        <is>
          <t>Replicated to DR site</t>
        </is>
      </c>
    </row>
    <row r="18" ht="50.5" customHeight="1">
      <c r="A18" s="12" t="inlineStr">
        <is>
          <t>CERT-07</t>
        </is>
      </c>
      <c r="B18" s="12" t="inlineStr">
        <is>
          <t>API gateway</t>
        </is>
      </c>
      <c r="C18" s="12" t="inlineStr">
        <is>
          <t>Public CA</t>
        </is>
      </c>
      <c r="D18" s="12" t="inlineStr">
        <is>
          <t>Public CA</t>
        </is>
      </c>
      <c r="E18" s="26" t="n">
        <v>45976</v>
      </c>
      <c r="F18" s="26" t="n">
        <v>46341</v>
      </c>
      <c r="G18" s="12" t="inlineStr">
        <is>
          <t>60-day auto-reminder</t>
        </is>
      </c>
      <c r="H18" s="21" t="inlineStr">
        <is>
          <t>n/a</t>
        </is>
      </c>
      <c r="I18" s="21" t="inlineStr">
        <is>
          <t>Information Security Analyst</t>
        </is>
      </c>
      <c r="J18" s="21" t="inlineStr">
        <is>
          <t>Replicated to DR site</t>
        </is>
      </c>
    </row>
    <row r="19" ht="66.4" customHeight="1">
      <c r="A19" s="12" t="inlineStr">
        <is>
          <t>CERT-08</t>
        </is>
      </c>
      <c r="B19" s="12" t="inlineStr">
        <is>
          <t>Internal test service</t>
        </is>
      </c>
      <c r="C19" s="12" t="inlineStr">
        <is>
          <t>Self-signed</t>
        </is>
      </c>
      <c r="D19" s="12" t="inlineStr">
        <is>
          <t>Self-signed</t>
        </is>
      </c>
      <c r="E19" s="26" t="n">
        <v>45940</v>
      </c>
      <c r="F19" s="26" t="n">
        <v>46305</v>
      </c>
      <c r="G19" s="12" t="inlineStr">
        <is>
          <t>30-day auto-reminder</t>
        </is>
      </c>
      <c r="H19" s="21" t="inlineStr">
        <is>
          <t>Test environment only; not in production path</t>
        </is>
      </c>
      <c r="I19" s="21" t="inlineStr">
        <is>
          <t>Information Security Analyst</t>
        </is>
      </c>
      <c r="J19" s="21" t="inlineStr">
        <is>
          <t>Replicated to DR site</t>
        </is>
      </c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2"/>
    <row r="23" ht="15" customHeight="1">
      <c r="A23" s="5" t="inlineStr">
        <is>
          <t>Summary (as of 2026-10-11)</t>
        </is>
      </c>
    </row>
    <row r="24" ht="15" customHeight="1">
      <c r="A24" s="4" t="inlineStr">
        <is>
          <t>Total certificates</t>
        </is>
      </c>
      <c r="B24" s="25" t="n"/>
      <c r="C24" s="13">
        <f>COUNTA(A12:A21)</f>
      </c>
    </row>
    <row r="25" ht="15" customHeight="1">
      <c r="A25" s="4" t="inlineStr">
        <is>
          <t>Expiring within 30 days</t>
        </is>
      </c>
      <c r="B25" s="25" t="n"/>
      <c r="C25" s="13">
        <f>COUNTIFS(F12:F21,"&gt;="&amp;DATE(2026,10,11),F12:F21,"&lt;="&amp;(DATE(2026,10,11)+30))</f>
      </c>
    </row>
    <row r="26" ht="15" customHeight="1">
      <c r="A26" s="4" t="inlineStr">
        <is>
          <t>Expiring within 60 days</t>
        </is>
      </c>
      <c r="B26" s="25" t="n"/>
      <c r="C26" s="13">
        <f>COUNTIFS(F12:F21,"&gt;="&amp;DATE(2026,10,11),F12:F21,"&lt;="&amp;(DATE(2026,10,11)+60))</f>
      </c>
    </row>
    <row r="27" ht="15" customHeight="1">
      <c r="A27" s="4" t="inlineStr">
        <is>
          <t>Self-signed exceptions</t>
        </is>
      </c>
      <c r="B27" s="25" t="n"/>
      <c r="C27" s="13">
        <f>COUNTIF(D12:D21,"*self-signed*")</f>
      </c>
    </row>
    <row r="28" ht="15" customHeight="1">
      <c r="A28" s="4" t="inlineStr">
        <is>
          <t>Without DR backup</t>
        </is>
      </c>
      <c r="B28" s="25" t="n"/>
      <c r="C28" s="13">
        <f>COUNTIF(J12:J21,"None")</f>
      </c>
    </row>
    <row r="29" ht="15" customHeight="1">
      <c r="A29" s="4" t="inlineStr">
        <is>
          <t>Expired / past due</t>
        </is>
      </c>
      <c r="B29" s="25" t="n"/>
      <c r="C29" s="13">
        <f>COUNTIF(F12:F21,"&lt;"&amp;DATE(2026,10,11))</f>
      </c>
    </row>
    <row r="30"/>
    <row r="31" ht="15" customHeight="1">
      <c r="A31" s="5" t="inlineStr">
        <is>
          <t>Source Authority</t>
        </is>
      </c>
    </row>
    <row r="32" ht="15" customHeight="1">
      <c r="A32" s="9" t="inlineStr"/>
    </row>
    <row r="33" ht="15" customHeight="1">
      <c r="A33" s="3" t="inlineStr">
        <is>
          <t>NENA-STA-040.2-2024: §6.23.2, §6.23.3, §6.23.5, §6.23.8</t>
        </is>
      </c>
    </row>
    <row r="34" ht="15" customHeight="1">
      <c r="A34" s="3" t="inlineStr">
        <is>
          <t>NIST SP 800-53 Rev. 5: IA-5, SC-12, SC-17</t>
        </is>
      </c>
    </row>
    <row r="35" ht="15" customHeight="1">
      <c r="A35" s="3" t="n"/>
    </row>
    <row r="36" ht="15" customHeight="1">
      <c r="A36" s="3" t="n"/>
    </row>
    <row r="37"/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Director</t>
        </is>
      </c>
      <c r="B40" s="15" t="inlineStr">
        <is>
          <t>Dr. Lisa Park</t>
        </is>
      </c>
      <c r="C40" s="15" t="inlineStr">
        <is>
          <t>/s/ Dr. Lisa Park</t>
        </is>
      </c>
      <c r="D40" s="28">
        <v>46048</v>
      </c>
    </row>
    <row r="41" ht="50.5" customHeight="1">
      <c r="A41" s="12" t="inlineStr">
        <is>
          <t>Information Security Analyst</t>
        </is>
      </c>
      <c r="B41" s="15" t="inlineStr">
        <is>
          <t>Raymond Osei</t>
        </is>
      </c>
      <c r="C41" s="15" t="inlineStr">
        <is>
          <t>/s/ Raymond Osei</t>
        </is>
      </c>
      <c r="D41" s="28">
        <v>46048</v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34.7" customHeight="1">
      <c r="A45" s="12" t="inlineStr">
        <is>
          <t>1</t>
        </is>
      </c>
      <c r="B45" s="27">
        <v>46048</v>
      </c>
      <c r="C45" s="12" t="inlineStr">
        <is>
          <t>Raymond Osei</t>
        </is>
      </c>
      <c r="D45" s="12" t="inlineStr">
        <is>
          <t>Initial adoption</t>
        </is>
      </c>
      <c r="E45" s="12" t="n"/>
      <c r="F45" s="12" t="n"/>
      <c r="G45" s="12" t="n"/>
    </row>
    <row r="46"/>
    <row r="47">
      <c r="A47"/>
    </row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2026-07-14T16:18:19Z</dcterms:modified>
  <cp:lastModifiedBy/>
  <cp:revision>0</cp:revision>
  <dc:title xmlns:dc="http://purl.org/dc/elements/1.1/">Certificate Inventory - EXAMPLE - L</dc:title>
</cp:coreProperties>
</file>
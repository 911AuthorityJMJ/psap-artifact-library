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Baseline &amp; Deviation" sheetId="2" state="visible" r:id="rId2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Wireless Network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Dr. Lisa Park, Executive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IT team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2026-01-20      Next Review 2027-01-20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quarterly by the IT team; access-point configurations audited on the same cadence.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inlineStr"/>
    </row>
    <row r="11" ht="66.4" customHeight="1">
      <c r="A11" s="11" t="inlineStr">
        <is>
          <t>AP / SSID ID</t>
        </is>
      </c>
      <c r="B11" s="11" t="inlineStr">
        <is>
          <t>SSID / network name</t>
        </is>
      </c>
      <c r="C11" s="11" t="inlineStr">
        <is>
          <t>Purpose (operations / guest / field)</t>
        </is>
      </c>
      <c r="D11" s="11" t="inlineStr">
        <is>
          <t>Band / protocol</t>
        </is>
      </c>
      <c r="E11" s="11" t="inlineStr">
        <is>
          <t>Encryption / authentication mode</t>
        </is>
      </c>
      <c r="F11" s="11" t="inlineStr">
        <is>
          <t>Network segment / VLAN</t>
        </is>
      </c>
      <c r="G11" s="11" t="inlineStr">
        <is>
          <t>Baseline conformance (Meets / Partial / None)</t>
        </is>
      </c>
      <c r="H11" s="24" t="inlineStr">
        <is>
          <t>Owner (Role)</t>
        </is>
      </c>
      <c r="I11" s="24" t="inlineStr">
        <is>
          <t>Last audited</t>
        </is>
      </c>
      <c r="J11" s="24" t="inlineStr">
        <is>
          <t>Next audit due</t>
        </is>
      </c>
    </row>
    <row r="12" ht="19.5" customHeight="1">
      <c r="A12" s="12" t="inlineStr">
        <is>
          <t>WAP-01</t>
        </is>
      </c>
      <c r="B12" s="12" t="inlineStr">
        <is>
          <t>TRR-OPS</t>
        </is>
      </c>
      <c r="C12" s="12" t="inlineStr">
        <is>
          <t>Operations</t>
        </is>
      </c>
      <c r="D12" s="12" t="inlineStr">
        <is>
          <t>5 GHz 802.11ax</t>
        </is>
      </c>
      <c r="E12" s="12" t="inlineStr">
        <is>
          <t>WPA3-Enterprise, RADIUS</t>
        </is>
      </c>
      <c r="F12" s="12" t="inlineStr">
        <is>
          <t>VLAN 30</t>
        </is>
      </c>
      <c r="G12" s="12" t="inlineStr">
        <is>
          <t>Meets</t>
        </is>
      </c>
      <c r="H12" s="21" t="inlineStr">
        <is>
          <t>IT team</t>
        </is>
      </c>
      <c r="I12" s="28">
        <v>46032</v>
      </c>
      <c r="J12" s="28">
        <v>46122</v>
      </c>
    </row>
    <row r="13" ht="19.5" customHeight="1">
      <c r="A13" s="12" t="inlineStr">
        <is>
          <t>WAP-02</t>
        </is>
      </c>
      <c r="B13" s="12" t="inlineStr">
        <is>
          <t>TRR-FIELD</t>
        </is>
      </c>
      <c r="C13" s="12" t="inlineStr">
        <is>
          <t>Field</t>
        </is>
      </c>
      <c r="D13" s="12" t="inlineStr">
        <is>
          <t>5 GHz</t>
        </is>
      </c>
      <c r="E13" s="12" t="inlineStr">
        <is>
          <t>WPA3-Enterprise</t>
        </is>
      </c>
      <c r="F13" s="12" t="inlineStr">
        <is>
          <t>VLAN 35</t>
        </is>
      </c>
      <c r="G13" s="12" t="inlineStr">
        <is>
          <t>Meets</t>
        </is>
      </c>
      <c r="H13" s="21" t="inlineStr">
        <is>
          <t>IT team</t>
        </is>
      </c>
      <c r="I13" s="28">
        <v>46032</v>
      </c>
      <c r="J13" s="28">
        <v>46122</v>
      </c>
    </row>
    <row r="14" ht="19.5" customHeight="1">
      <c r="A14" s="12" t="inlineStr">
        <is>
          <t>WAP-03</t>
        </is>
      </c>
      <c r="B14" s="12" t="inlineStr">
        <is>
          <t>TRR-GUEST</t>
        </is>
      </c>
      <c r="C14" s="12" t="inlineStr">
        <is>
          <t>Guest</t>
        </is>
      </c>
      <c r="D14" s="12" t="inlineStr">
        <is>
          <t>2.4/5/6 GHz</t>
        </is>
      </c>
      <c r="E14" s="12" t="inlineStr">
        <is>
          <t>WPA3-SAE</t>
        </is>
      </c>
      <c r="F14" s="12" t="inlineStr">
        <is>
          <t>VLAN 90</t>
        </is>
      </c>
      <c r="G14" s="12" t="inlineStr">
        <is>
          <t>Meets</t>
        </is>
      </c>
      <c r="H14" s="21" t="inlineStr">
        <is>
          <t>IT team</t>
        </is>
      </c>
      <c r="I14" s="28">
        <v>46032</v>
      </c>
      <c r="J14" s="28">
        <v>46122</v>
      </c>
    </row>
    <row r="15" ht="34.7" customHeight="1">
      <c r="A15" s="12" t="inlineStr">
        <is>
          <t>WAP-04</t>
        </is>
      </c>
      <c r="B15" s="12" t="inlineStr">
        <is>
          <t>TRR-IOT</t>
        </is>
      </c>
      <c r="C15" s="12" t="inlineStr">
        <is>
          <t>IoT / sensors</t>
        </is>
      </c>
      <c r="D15" s="12" t="inlineStr">
        <is>
          <t>2.4 GHz</t>
        </is>
      </c>
      <c r="E15" s="12" t="inlineStr">
        <is>
          <t>WPA3-Enterprise</t>
        </is>
      </c>
      <c r="F15" s="12" t="inlineStr">
        <is>
          <t>VLAN 40</t>
        </is>
      </c>
      <c r="G15" s="12" t="inlineStr">
        <is>
          <t>Meets</t>
        </is>
      </c>
      <c r="H15" s="21" t="inlineStr">
        <is>
          <t>IT team</t>
        </is>
      </c>
      <c r="I15" s="28">
        <v>46032</v>
      </c>
      <c r="J15" s="28">
        <v>46089</v>
      </c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  <c r="I16" s="21" t="n"/>
      <c r="J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 (as of 2026-03-09)</t>
        </is>
      </c>
    </row>
    <row r="24" ht="15" customHeight="1">
      <c r="A24" s="4" t="inlineStr">
        <is>
          <t>Total networks</t>
        </is>
      </c>
      <c r="B24" s="25" t="n"/>
      <c r="C24" s="13">
        <f>COUNTA(A12:A21)</f>
      </c>
    </row>
    <row r="25" ht="15" customHeight="1">
      <c r="A25" s="4" t="inlineStr">
        <is>
          <t>Operational networks</t>
        </is>
      </c>
      <c r="B25" s="25" t="n"/>
      <c r="C25" s="13">
        <f>COUNTIF(C12:C21,"Operations")</f>
      </c>
    </row>
    <row r="26" ht="15" customHeight="1">
      <c r="A26" s="4" t="inlineStr">
        <is>
          <t>Guest networks</t>
        </is>
      </c>
      <c r="B26" s="25" t="n"/>
      <c r="C26" s="13">
        <f>COUNTIF(C12:C21,"Guest")</f>
      </c>
    </row>
    <row r="27" ht="15" customHeight="1">
      <c r="A27" s="4" t="inlineStr">
        <is>
          <t>Fully conformant (Meets)</t>
        </is>
      </c>
      <c r="B27" s="25" t="n"/>
      <c r="C27" s="13">
        <f>COUNTIF(G12:G21,"Meets")</f>
      </c>
    </row>
    <row r="28" ht="15" customHeight="1">
      <c r="A28" s="4" t="inlineStr">
        <is>
          <t>Not fully conformant</t>
        </is>
      </c>
      <c r="B28" s="25" t="n"/>
      <c r="C28" s="13">
        <f>COUNTIF(G12:G21,"Partial")+COUNTIF(G12:G21,"None")</f>
      </c>
    </row>
    <row r="29" ht="15" customHeight="1">
      <c r="A29" s="4" t="inlineStr">
        <is>
          <t>Past due for audit</t>
        </is>
      </c>
      <c r="B29" s="25" t="n"/>
      <c r="C29" s="13">
        <f>COUNTIF(J12:J21,"&lt;"&amp;DATE(2026,3,9))</f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§5.4 (Inventory); §6.3.2 (Wi-Fi); §6.3.3 (Other Wireless); §6.9 (Segmentation)</t>
        </is>
      </c>
    </row>
    <row r="34" ht="15" customHeight="1">
      <c r="A34" s="3" t="inlineStr">
        <is>
          <t>NIST SP 800-53 Rev. 5: AC-18, CM-6, CM-7, CM-8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Executive Director</t>
        </is>
      </c>
      <c r="B40" s="15" t="inlineStr">
        <is>
          <t>Dr. Lisa Park</t>
        </is>
      </c>
      <c r="C40" s="15" t="inlineStr">
        <is>
          <t>/s/ Dr. Lisa Park</t>
        </is>
      </c>
      <c r="D40" s="27">
        <v>46042</v>
      </c>
    </row>
    <row r="41" ht="34" customHeight="1">
      <c r="A41" s="12" t="inlineStr">
        <is>
          <t>IT team</t>
        </is>
      </c>
      <c r="B41" s="15" t="inlineStr">
        <is>
          <t>(on file)</t>
        </is>
      </c>
      <c r="C41" s="15" t="inlineStr">
        <is>
          <t>(on file)</t>
        </is>
      </c>
      <c r="D41" s="27">
        <v>46042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6">
        <v>46042</v>
      </c>
      <c r="C45" s="12" t="inlineStr">
        <is>
          <t>IT team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4" customWidth="1" min="4" max="4"/>
    <col width="14" customWidth="1" min="5" max="5"/>
    <col width="26" customWidth="1" min="6" max="6"/>
    <col width="14" customWidth="1" min="7" max="7"/>
  </cols>
  <sheetData>
    <row r="1">
      <c r="A1" s="10" t="inlineStr">
        <is>
          <t>Wireless Configuration Baseline &amp; Deviation Log</t>
        </is>
      </c>
    </row>
    <row r="2">
      <c r="A2" s="9" t="inlineStr"/>
    </row>
    <row r="3"/>
    <row r="4" ht="34.7" customHeight="1">
      <c r="A4" s="11" t="inlineStr">
        <is>
          <t>AP / SSID ID</t>
        </is>
      </c>
      <c r="B4" s="11" t="inlineStr">
        <is>
          <t>Baseline setting</t>
        </is>
      </c>
      <c r="C4" s="11" t="inlineStr">
        <is>
          <t>Approved value</t>
        </is>
      </c>
      <c r="D4" s="11" t="inlineStr">
        <is>
          <t>Current value</t>
        </is>
      </c>
      <c r="E4" s="11" t="inlineStr">
        <is>
          <t>Conforms? (Y/N)</t>
        </is>
      </c>
      <c r="F4" s="11" t="inlineStr">
        <is>
          <t>Deviation approved by (role)</t>
        </is>
      </c>
      <c r="G4" s="11" t="inlineStr">
        <is>
          <t>Date</t>
        </is>
      </c>
    </row>
    <row r="5">
      <c r="A5" s="12" t="inlineStr">
        <is>
          <t>WAP-01</t>
        </is>
      </c>
      <c r="B5" s="12" t="inlineStr">
        <is>
          <t>WIDS rogue-AP detection</t>
        </is>
      </c>
      <c r="C5" s="12" t="inlineStr">
        <is>
          <t>Enabled</t>
        </is>
      </c>
      <c r="D5" s="12" t="inlineStr">
        <is>
          <t>Enabled</t>
        </is>
      </c>
      <c r="E5" s="12" t="inlineStr">
        <is>
          <t>Y</t>
        </is>
      </c>
      <c r="F5" s="12" t="inlineStr">
        <is>
          <t>-</t>
        </is>
      </c>
      <c r="G5" s="26">
        <v>46032</v>
      </c>
    </row>
    <row r="6">
      <c r="A6" s="12" t="inlineStr">
        <is>
          <t>WAP-03</t>
        </is>
      </c>
      <c r="B6" s="12" t="inlineStr">
        <is>
          <t>Guest bandwidth cap</t>
        </is>
      </c>
      <c r="C6" s="12" t="inlineStr">
        <is>
          <t>Per policy</t>
        </is>
      </c>
      <c r="D6" s="12" t="inlineStr">
        <is>
          <t>Per policy</t>
        </is>
      </c>
      <c r="E6" s="12" t="inlineStr">
        <is>
          <t>Y</t>
        </is>
      </c>
      <c r="F6" s="12" t="inlineStr">
        <is>
          <t>-</t>
        </is>
      </c>
      <c r="G6" s="26">
        <v>46032</v>
      </c>
    </row>
    <row r="7">
      <c r="A7" s="12" t="inlineStr">
        <is>
          <t>WAP-04</t>
        </is>
      </c>
      <c r="B7" s="12" t="inlineStr">
        <is>
          <t>IoT segment isolation</t>
        </is>
      </c>
      <c r="C7" s="12" t="inlineStr">
        <is>
          <t>No route to ops VLAN</t>
        </is>
      </c>
      <c r="D7" s="12" t="inlineStr">
        <is>
          <t>No route to ops VLAN</t>
        </is>
      </c>
      <c r="E7" s="12" t="inlineStr">
        <is>
          <t>Y</t>
        </is>
      </c>
      <c r="F7" s="12" t="inlineStr">
        <is>
          <t>-</t>
        </is>
      </c>
      <c r="G7" s="26">
        <v>46032</v>
      </c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</sheetData>
  <mergeCells count="2">
    <mergeCell ref="A2:G2"/>
    <mergeCell ref="A1:G1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2026-08-04T14:40:30Z</dcterms:modified>
  <cp:lastModifiedBy/>
  <cp:revision>0</cp:revision>
  <dc:title xmlns:dc="http://purl.org/dc/elements/1.1/">Wireless Network Inventory - EXAMPLE - L</dc:title>
</cp:coreProperties>
</file>
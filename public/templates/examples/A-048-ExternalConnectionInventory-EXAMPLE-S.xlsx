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External Connections" sheetId="1" state="visible" r:id="rId1"/>
    <sheet xmlns:r="http://schemas.openxmlformats.org/officeDocument/2006/relationships" name="Trust Relationships" sheetId="2" state="visible" r:id="rId2"/>
  </sheets>
  <definedNames>
    <definedName name="_xlnm.Print_Titles" localSheetId="0">'External Connections'!$11:$11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External Connection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Tracy Holloway,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County IT Contact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2026-02-16      Next Review 2027-02-16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and reconciled at least annually by the County IT Contact; entries kept current as connections are added or removed.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34.7" customHeight="1">
      <c r="A11" s="11" t="inlineStr">
        <is>
          <t>ID</t>
        </is>
      </c>
      <c r="B11" s="11" t="inlineStr">
        <is>
          <t>Connection Type</t>
        </is>
      </c>
      <c r="C11" s="11" t="inlineStr">
        <is>
          <t>Endpoint / Provider</t>
        </is>
      </c>
      <c r="D11" s="11" t="inlineStr">
        <is>
          <t>Business Justification</t>
        </is>
      </c>
      <c r="E11" s="11" t="inlineStr">
        <is>
          <t>Protecting Control</t>
        </is>
      </c>
      <c r="F11" s="11" t="inlineStr">
        <is>
          <t>Monitored? (Y/N + how)</t>
        </is>
      </c>
      <c r="G11" s="11" t="inlineStr">
        <is>
          <t>Owner (Role)</t>
        </is>
      </c>
      <c r="H11" s="24" t="inlineStr">
        <is>
          <t>Last Verified</t>
        </is>
      </c>
    </row>
    <row r="12" ht="34.7" customHeight="1">
      <c r="A12" s="12" t="inlineStr">
        <is>
          <t>EXT-01</t>
        </is>
      </c>
      <c r="B12" s="12" t="inlineStr">
        <is>
          <t>ESInet</t>
        </is>
      </c>
      <c r="C12" s="12" t="inlineStr">
        <is>
          <t>ESInet provider</t>
        </is>
      </c>
      <c r="D12" s="12" t="inlineStr">
        <is>
          <t>9-1-1 call delivery</t>
        </is>
      </c>
      <c r="E12" s="12" t="inlineStr">
        <is>
          <t>SBC + firewall</t>
        </is>
      </c>
      <c r="F12" s="12" t="inlineStr">
        <is>
          <t>Y – firewall logs</t>
        </is>
      </c>
      <c r="G12" s="12" t="inlineStr">
        <is>
          <t>County IT Contact</t>
        </is>
      </c>
      <c r="H12" s="28">
        <v>46063</v>
      </c>
    </row>
    <row r="13" ht="19.5" customHeight="1">
      <c r="A13" s="12" t="inlineStr">
        <is>
          <t>EXT-02</t>
        </is>
      </c>
      <c r="B13" s="12" t="inlineStr">
        <is>
          <t>ISP circuit</t>
        </is>
      </c>
      <c r="C13" s="12" t="inlineStr">
        <is>
          <t>Local ISP</t>
        </is>
      </c>
      <c r="D13" s="12" t="inlineStr">
        <is>
          <t>Internet access</t>
        </is>
      </c>
      <c r="E13" s="12" t="inlineStr">
        <is>
          <t>Firewall, default-deny</t>
        </is>
      </c>
      <c r="F13" s="12" t="inlineStr">
        <is>
          <t>Y – firewall logs</t>
        </is>
      </c>
      <c r="G13" s="12" t="inlineStr">
        <is>
          <t>County IT Contact</t>
        </is>
      </c>
      <c r="H13" s="28">
        <v>46063</v>
      </c>
    </row>
    <row r="14" ht="19.5" customHeight="1">
      <c r="A14" s="12" t="inlineStr">
        <is>
          <t>EXT-03</t>
        </is>
      </c>
      <c r="B14" s="12" t="inlineStr">
        <is>
          <t>Vendor VPN</t>
        </is>
      </c>
      <c r="C14" s="12" t="inlineStr">
        <is>
          <t>CAD vendor</t>
        </is>
      </c>
      <c r="D14" s="12" t="inlineStr">
        <is>
          <t>Scheduled maintenance</t>
        </is>
      </c>
      <c r="E14" s="12" t="inlineStr">
        <is>
          <t>VPN, time-limited</t>
        </is>
      </c>
      <c r="F14" s="12" t="inlineStr">
        <is>
          <t>Y – VPN logs</t>
        </is>
      </c>
      <c r="G14" s="12" t="inlineStr">
        <is>
          <t>County IT Contact</t>
        </is>
      </c>
      <c r="H14" s="28">
        <v>46063</v>
      </c>
    </row>
    <row r="15" ht="34.7" customHeight="1">
      <c r="A15" s="12" t="inlineStr">
        <is>
          <t>EXT-04</t>
        </is>
      </c>
      <c r="B15" s="12" t="inlineStr">
        <is>
          <t>Cloud backup</t>
        </is>
      </c>
      <c r="C15" s="12" t="inlineStr">
        <is>
          <t>Backup provider</t>
        </is>
      </c>
      <c r="D15" s="12" t="inlineStr">
        <is>
          <t>Off-site backup</t>
        </is>
      </c>
      <c r="E15" s="12" t="inlineStr">
        <is>
          <t>TLS + firewall</t>
        </is>
      </c>
      <c r="F15" s="12" t="inlineStr">
        <is>
          <t>Y – firewall logs</t>
        </is>
      </c>
      <c r="G15" s="12" t="inlineStr">
        <is>
          <t>County IT Contact</t>
        </is>
      </c>
      <c r="H15" s="28">
        <v>45787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2"/>
    <row r="23" ht="15" customHeight="1">
      <c r="A23" s="5" t="inlineStr">
        <is>
          <t>Summary (as of 2026-06-24)</t>
        </is>
      </c>
    </row>
    <row r="24" ht="15" customHeight="1">
      <c r="A24" s="4" t="inlineStr">
        <is>
          <t>Total connections</t>
        </is>
      </c>
      <c r="B24" s="25" t="n"/>
      <c r="C24" s="13">
        <f>COUNTA(A12:A21)</f>
      </c>
    </row>
    <row r="25" ht="15" customHeight="1">
      <c r="A25" s="4" t="inlineStr">
        <is>
          <t>Monitored</t>
        </is>
      </c>
      <c r="B25" s="25" t="n"/>
      <c r="C25" s="13">
        <f>COUNTIF(F12:F21,"Y*")</f>
      </c>
    </row>
    <row r="26" ht="15" customHeight="1">
      <c r="A26" s="4" t="inlineStr">
        <is>
          <t>Not monitored (review)</t>
        </is>
      </c>
      <c r="B26" s="25" t="n"/>
      <c r="C26" s="13">
        <f>COUNTIF(F12:F21,"N*")</f>
      </c>
    </row>
    <row r="27" ht="15" customHeight="1">
      <c r="A27" s="4" t="inlineStr">
        <is>
          <t>Not verified in 12 months</t>
        </is>
      </c>
      <c r="B27" s="25" t="n"/>
      <c r="C27" s="13">
        <f>COUNTIF(H12:H21,"&lt;"&amp;(DATE(2026,6,24)-365))</f>
      </c>
    </row>
    <row r="28" ht="15" customHeight="1">
      <c r="A28" s="4" t="n"/>
      <c r="B28" s="25" t="n"/>
      <c r="C28" s="13" t="n"/>
    </row>
    <row r="29" ht="15" customHeight="1">
      <c r="A29" s="4" t="n"/>
      <c r="B29" s="25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§6.3, §6.11, §6.13, §6.23.2</t>
        </is>
      </c>
    </row>
    <row r="34" ht="15" customHeight="1">
      <c r="A34" s="3" t="inlineStr">
        <is>
          <t>NIST SP 800-53 Rev. 5: AC-20, CA-3, CA-9, IA-9, SA-9, SC-7</t>
        </is>
      </c>
    </row>
    <row r="35" ht="15" customHeight="1">
      <c r="A35" s="3" t="inlineStr">
        <is>
          <t>Indiana statutes and administrative code:</t>
        </is>
      </c>
    </row>
    <row r="36" ht="15" customHeight="1">
      <c r="A36" s="3" t="inlineStr">
        <is>
          <t xml:space="preserve">    IC 36-8-16.7: Statewide 9-1-1 Services (external connectivity)</t>
        </is>
      </c>
    </row>
    <row r="37">
      <c r="A37" t="inlineStr">
        <is>
          <t>CJIS Security Policy v5.9: §5.1  (if an IDACS or other CJIS-regulated interconnection is listed)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27">
        <v>46069</v>
      </c>
    </row>
    <row r="41" ht="34" customHeight="1">
      <c r="A41" s="12" t="inlineStr">
        <is>
          <t>County IT Contact</t>
        </is>
      </c>
      <c r="B41" s="15" t="inlineStr">
        <is>
          <t>Marcus Reed</t>
        </is>
      </c>
      <c r="C41" s="15" t="inlineStr">
        <is>
          <t>/s/ Marcus Reed</t>
        </is>
      </c>
      <c r="D41" s="27">
        <v>46069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inlineStr">
        <is>
          <t>1</t>
        </is>
      </c>
      <c r="B45" s="26">
        <v>46069</v>
      </c>
      <c r="C45" s="12" t="inlineStr">
        <is>
          <t>Marcus Reed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30" customWidth="1" min="5" max="5"/>
    <col width="16" customWidth="1" min="6" max="6"/>
    <col width="15" customWidth="1" min="7" max="7"/>
  </cols>
  <sheetData>
    <row r="1" ht="25.5" customHeight="1">
      <c r="A1" s="10" t="inlineStr">
        <is>
          <t>Trust Relationships</t>
        </is>
      </c>
    </row>
    <row r="2">
      <c r="A2" s="9" t="inlineStr"/>
    </row>
    <row r="3"/>
    <row r="4" ht="34.7" customHeight="1">
      <c r="A4" s="24" t="inlineStr">
        <is>
          <t>Trust ID</t>
        </is>
      </c>
      <c r="B4" s="24" t="inlineStr">
        <is>
          <t>Systems in Trust</t>
        </is>
      </c>
      <c r="C4" s="24" t="inlineStr">
        <is>
          <t>Trust Type (SAML / certificate / API)</t>
        </is>
      </c>
      <c r="D4" s="24" t="inlineStr">
        <is>
          <t>Direction</t>
        </is>
      </c>
      <c r="E4" s="24" t="inlineStr">
        <is>
          <t>Justification</t>
        </is>
      </c>
      <c r="F4" s="24" t="inlineStr">
        <is>
          <t>Owner (Role)</t>
        </is>
      </c>
      <c r="G4" s="24" t="inlineStr">
        <is>
          <t>Last Reviewed</t>
        </is>
      </c>
    </row>
    <row r="5" ht="34.7" customHeight="1">
      <c r="A5" s="21" t="inlineStr">
        <is>
          <t>TR-01</t>
        </is>
      </c>
      <c r="B5" s="21" t="inlineStr">
        <is>
          <t>County IT and courthouse AD</t>
        </is>
      </c>
      <c r="C5" s="21" t="inlineStr">
        <is>
          <t>Certificate</t>
        </is>
      </c>
      <c r="D5" s="21" t="inlineStr">
        <is>
          <t>Bidirectional</t>
        </is>
      </c>
      <c r="E5" s="21" t="inlineStr">
        <is>
          <t>Shared authentication</t>
        </is>
      </c>
      <c r="F5" s="21" t="inlineStr">
        <is>
          <t>County IT Contact</t>
        </is>
      </c>
      <c r="G5" s="28">
        <v>46063</v>
      </c>
    </row>
    <row r="6">
      <c r="A6" s="21" t="n"/>
      <c r="B6" s="21" t="n"/>
      <c r="C6" s="21" t="n"/>
      <c r="D6" s="21" t="n"/>
      <c r="E6" s="21" t="n"/>
      <c r="F6" s="21" t="n"/>
      <c r="G6" s="21" t="n"/>
    </row>
    <row r="7">
      <c r="A7" s="21" t="n"/>
      <c r="B7" s="21" t="n"/>
      <c r="C7" s="21" t="n"/>
      <c r="D7" s="21" t="n"/>
      <c r="E7" s="21" t="n"/>
      <c r="F7" s="21" t="n"/>
      <c r="G7" s="21" t="n"/>
    </row>
    <row r="8">
      <c r="A8" s="21" t="n"/>
      <c r="B8" s="21" t="n"/>
      <c r="C8" s="21" t="n"/>
      <c r="D8" s="21" t="n"/>
      <c r="E8" s="21" t="n"/>
      <c r="F8" s="21" t="n"/>
      <c r="G8" s="21" t="n"/>
    </row>
    <row r="9">
      <c r="A9" s="21" t="n"/>
      <c r="B9" s="21" t="n"/>
      <c r="C9" s="21" t="n"/>
      <c r="D9" s="21" t="n"/>
      <c r="E9" s="21" t="n"/>
      <c r="F9" s="21" t="n"/>
      <c r="G9" s="21" t="n"/>
    </row>
    <row r="10">
      <c r="A10" s="21" t="n"/>
      <c r="B10" s="21" t="n"/>
      <c r="C10" s="21" t="n"/>
      <c r="D10" s="21" t="n"/>
      <c r="E10" s="21" t="n"/>
      <c r="F10" s="21" t="n"/>
      <c r="G10" s="21" t="n"/>
    </row>
    <row r="11">
      <c r="A11" s="21" t="n"/>
      <c r="B11" s="21" t="n"/>
      <c r="C11" s="21" t="n"/>
      <c r="D11" s="21" t="n"/>
      <c r="E11" s="21" t="n"/>
      <c r="F11" s="21" t="n"/>
      <c r="G11" s="21" t="n"/>
    </row>
    <row r="12">
      <c r="A12" s="21" t="n"/>
      <c r="B12" s="21" t="n"/>
      <c r="C12" s="21" t="n"/>
      <c r="D12" s="21" t="n"/>
      <c r="E12" s="21" t="n"/>
      <c r="F12" s="21" t="n"/>
      <c r="G12" s="21" t="n"/>
    </row>
    <row r="13">
      <c r="A13" s="21" t="n"/>
      <c r="B13" s="21" t="n"/>
      <c r="C13" s="21" t="n"/>
      <c r="D13" s="21" t="n"/>
      <c r="E13" s="21" t="n"/>
      <c r="F13" s="21" t="n"/>
      <c r="G13" s="21" t="n"/>
    </row>
    <row r="14">
      <c r="A14" s="21" t="n"/>
      <c r="B14" s="21" t="n"/>
      <c r="C14" s="21" t="n"/>
      <c r="D14" s="21" t="n"/>
      <c r="E14" s="21" t="n"/>
      <c r="F14" s="21" t="n"/>
      <c r="G14" s="21" t="n"/>
    </row>
  </sheetData>
  <mergeCells count="2">
    <mergeCell ref="A2:G2"/>
    <mergeCell ref="A1:G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2026-07-14T16:21:34Z</dcterms:modified>
  <cp:lastModifiedBy/>
  <cp:revision>0</cp:revision>
  <dc:title xmlns:dc="http://purl.org/dc/elements/1.1/">External Connection Inventory - EXAMPLE - S</dc:title>
</cp:coreProperties>
</file>
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4" fillId="0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Certificate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Anthony Reyes,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IT Support Lead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      Effective Date 2026-02-09      Next Review 2027-02-09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quarterly by the IT Support Lead; entries kept current as certificates are issued, renewed, or retired.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inlineStr"/>
    </row>
    <row r="11" ht="50.5" customHeight="1">
      <c r="A11" s="11" t="inlineStr">
        <is>
          <t>Cert ID</t>
        </is>
      </c>
      <c r="B11" s="11" t="inlineStr">
        <is>
          <t>Subject / System</t>
        </is>
      </c>
      <c r="C11" s="11" t="inlineStr">
        <is>
          <t>Issuer / CA</t>
        </is>
      </c>
      <c r="D11" s="11" t="inlineStr">
        <is>
          <t>Type (public CA / internal CA / self-signed)</t>
        </is>
      </c>
      <c r="E11" s="11" t="inlineStr">
        <is>
          <t>Issue Date</t>
        </is>
      </c>
      <c r="F11" s="11" t="inlineStr">
        <is>
          <t>Expiration Date</t>
        </is>
      </c>
      <c r="G11" s="11" t="inlineStr">
        <is>
          <t>Days to Expiry / Renewal Trigger</t>
        </is>
      </c>
      <c r="H11" s="24" t="inlineStr">
        <is>
          <t>Self-signed Exception (justification)</t>
        </is>
      </c>
      <c r="I11" s="24" t="inlineStr">
        <is>
          <t>Owner (Role)</t>
        </is>
      </c>
      <c r="J11" s="24" t="inlineStr">
        <is>
          <t>DR Availability</t>
        </is>
      </c>
    </row>
    <row r="12" ht="34.7" customHeight="1">
      <c r="A12" s="12" t="inlineStr">
        <is>
          <t>CERT-01</t>
        </is>
      </c>
      <c r="B12" s="12" t="inlineStr">
        <is>
          <t>CAD portal</t>
        </is>
      </c>
      <c r="C12" s="12" t="inlineStr">
        <is>
          <t>Public CA</t>
        </is>
      </c>
      <c r="D12" s="12" t="inlineStr">
        <is>
          <t>Public CA</t>
        </is>
      </c>
      <c r="E12" s="26" t="n">
        <v>46032</v>
      </c>
      <c r="F12" s="26" t="n">
        <v>46397</v>
      </c>
      <c r="G12" s="12" t="inlineStr">
        <is>
          <t>45-day reminder</t>
        </is>
      </c>
      <c r="H12" s="21" t="inlineStr">
        <is>
          <t>n/a</t>
        </is>
      </c>
      <c r="I12" s="21" t="inlineStr">
        <is>
          <t>IT Support Lead</t>
        </is>
      </c>
      <c r="J12" s="21" t="inlineStr">
        <is>
          <t>Replicated to DR</t>
        </is>
      </c>
    </row>
    <row r="13" ht="34.7" customHeight="1">
      <c r="A13" s="12" t="inlineStr">
        <is>
          <t>CERT-02</t>
        </is>
      </c>
      <c r="B13" s="12" t="inlineStr">
        <is>
          <t>GIS service</t>
        </is>
      </c>
      <c r="C13" s="12" t="inlineStr">
        <is>
          <t>Public CA</t>
        </is>
      </c>
      <c r="D13" s="12" t="inlineStr">
        <is>
          <t>Public CA</t>
        </is>
      </c>
      <c r="E13" s="26" t="n">
        <v>45981</v>
      </c>
      <c r="F13" s="26" t="n">
        <v>46346</v>
      </c>
      <c r="G13" s="12" t="inlineStr">
        <is>
          <t>45-day reminder</t>
        </is>
      </c>
      <c r="H13" s="21" t="inlineStr">
        <is>
          <t>n/a</t>
        </is>
      </c>
      <c r="I13" s="21" t="inlineStr">
        <is>
          <t>IT Support Lead</t>
        </is>
      </c>
      <c r="J13" s="21" t="inlineStr">
        <is>
          <t>Replicated to DR</t>
        </is>
      </c>
    </row>
    <row r="14" ht="34.7" customHeight="1">
      <c r="A14" s="12" t="inlineStr">
        <is>
          <t>CERT-03</t>
        </is>
      </c>
      <c r="B14" s="12" t="inlineStr">
        <is>
          <t>Admin console</t>
        </is>
      </c>
      <c r="C14" s="12" t="inlineStr">
        <is>
          <t>Internal CA</t>
        </is>
      </c>
      <c r="D14" s="12" t="inlineStr">
        <is>
          <t>Internal CA</t>
        </is>
      </c>
      <c r="E14" s="26" t="n">
        <v>46054</v>
      </c>
      <c r="F14" s="26" t="n">
        <v>46419</v>
      </c>
      <c r="G14" s="12" t="inlineStr">
        <is>
          <t>30-day reminder</t>
        </is>
      </c>
      <c r="H14" s="21" t="inlineStr">
        <is>
          <t>n/a</t>
        </is>
      </c>
      <c r="I14" s="21" t="inlineStr">
        <is>
          <t>IT Support Lead</t>
        </is>
      </c>
      <c r="J14" s="21" t="inlineStr">
        <is>
          <t>Replicated to DR</t>
        </is>
      </c>
    </row>
    <row r="15" ht="34.7" customHeight="1">
      <c r="A15" s="12" t="inlineStr">
        <is>
          <t>CERT-04</t>
        </is>
      </c>
      <c r="B15" s="12" t="inlineStr">
        <is>
          <t>VPN gateway</t>
        </is>
      </c>
      <c r="C15" s="12" t="inlineStr">
        <is>
          <t>Public CA</t>
        </is>
      </c>
      <c r="D15" s="12" t="inlineStr">
        <is>
          <t>Public CA</t>
        </is>
      </c>
      <c r="E15" s="26" t="n">
        <v>46037</v>
      </c>
      <c r="F15" s="26" t="n">
        <v>46402</v>
      </c>
      <c r="G15" s="12" t="inlineStr">
        <is>
          <t>45-day reminder</t>
        </is>
      </c>
      <c r="H15" s="21" t="inlineStr">
        <is>
          <t>n/a</t>
        </is>
      </c>
      <c r="I15" s="21" t="inlineStr">
        <is>
          <t>IT Support Lead</t>
        </is>
      </c>
      <c r="J15" s="21" t="inlineStr">
        <is>
          <t>Replicated to DR</t>
        </is>
      </c>
    </row>
    <row r="16" ht="34.7" customHeight="1">
      <c r="A16" s="12" t="inlineStr">
        <is>
          <t>CERT-05</t>
        </is>
      </c>
      <c r="B16" s="12" t="inlineStr">
        <is>
          <t>Recorder</t>
        </is>
      </c>
      <c r="C16" s="12" t="inlineStr">
        <is>
          <t>Internal CA</t>
        </is>
      </c>
      <c r="D16" s="12" t="inlineStr">
        <is>
          <t>Internal CA</t>
        </is>
      </c>
      <c r="E16" s="26" t="n">
        <v>45996</v>
      </c>
      <c r="F16" s="26" t="n">
        <v>46361</v>
      </c>
      <c r="G16" s="12" t="inlineStr">
        <is>
          <t>30-day reminder</t>
        </is>
      </c>
      <c r="H16" s="21" t="inlineStr">
        <is>
          <t>n/a</t>
        </is>
      </c>
      <c r="I16" s="21" t="inlineStr">
        <is>
          <t>IT Support Lead</t>
        </is>
      </c>
      <c r="J16" s="21" t="inlineStr">
        <is>
          <t>Replicated to DR</t>
        </is>
      </c>
    </row>
    <row r="17" ht="82.2" customHeight="1">
      <c r="A17" s="12" t="inlineStr">
        <is>
          <t>CERT-06</t>
        </is>
      </c>
      <c r="B17" s="12" t="inlineStr">
        <is>
          <t>Monitoring dashboard</t>
        </is>
      </c>
      <c r="C17" s="12" t="inlineStr">
        <is>
          <t>Self-signed</t>
        </is>
      </c>
      <c r="D17" s="12" t="inlineStr">
        <is>
          <t>Self-signed</t>
        </is>
      </c>
      <c r="E17" s="26" t="n">
        <v>45931</v>
      </c>
      <c r="F17" s="26" t="n">
        <v>46296</v>
      </c>
      <c r="G17" s="12" t="inlineStr">
        <is>
          <t>30-day reminder</t>
        </is>
      </c>
      <c r="H17" s="21" t="inlineStr">
        <is>
          <t>Internal dashboard; migration to internal CA planned</t>
        </is>
      </c>
      <c r="I17" s="21" t="inlineStr">
        <is>
          <t>IT Support Lead</t>
        </is>
      </c>
      <c r="J17" s="21" t="inlineStr">
        <is>
          <t>Replicated to DR</t>
        </is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 (as of 2026-10-02)</t>
        </is>
      </c>
    </row>
    <row r="24" ht="15" customHeight="1">
      <c r="A24" s="4" t="inlineStr">
        <is>
          <t>Total certificates</t>
        </is>
      </c>
      <c r="B24" s="25" t="n"/>
      <c r="C24" s="13">
        <f>COUNTA(A12:A21)</f>
      </c>
    </row>
    <row r="25" ht="15" customHeight="1">
      <c r="A25" s="4" t="inlineStr">
        <is>
          <t>Expiring within 30 days</t>
        </is>
      </c>
      <c r="B25" s="25" t="n"/>
      <c r="C25" s="13">
        <f>COUNTIFS(F12:F21,"&gt;="&amp;DATE(2026,10,2),F12:F21,"&lt;="&amp;(DATE(2026,10,2)+30))</f>
      </c>
    </row>
    <row r="26" ht="15" customHeight="1">
      <c r="A26" s="4" t="inlineStr">
        <is>
          <t>Expiring within 60 days</t>
        </is>
      </c>
      <c r="B26" s="25" t="n"/>
      <c r="C26" s="13">
        <f>COUNTIFS(F12:F21,"&gt;="&amp;DATE(2026,10,2),F12:F21,"&lt;="&amp;(DATE(2026,10,2)+60))</f>
      </c>
    </row>
    <row r="27" ht="15" customHeight="1">
      <c r="A27" s="4" t="inlineStr">
        <is>
          <t>Self-signed exceptions</t>
        </is>
      </c>
      <c r="B27" s="25" t="n"/>
      <c r="C27" s="13">
        <f>COUNTIF(D12:D21,"*self-signed*")</f>
      </c>
    </row>
    <row r="28" ht="15" customHeight="1">
      <c r="A28" s="4" t="inlineStr">
        <is>
          <t>Without DR backup</t>
        </is>
      </c>
      <c r="B28" s="25" t="n"/>
      <c r="C28" s="13">
        <f>COUNTIF(J12:J21,"None")</f>
      </c>
    </row>
    <row r="29" ht="15" customHeight="1">
      <c r="A29" s="4" t="inlineStr">
        <is>
          <t>Expired / past due</t>
        </is>
      </c>
      <c r="B29" s="25" t="n"/>
      <c r="C29" s="13">
        <f>COUNTIF(F12:F21,"&lt;"&amp;DATE(2026,10,2))</f>
      </c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§6.23.2, §6.23.3, §6.23.5, §6.23.8</t>
        </is>
      </c>
    </row>
    <row r="34" ht="15" customHeight="1">
      <c r="A34" s="3" t="inlineStr">
        <is>
          <t>NIST SP 800-53 Rev. 5: IA-5, SC-12, SC-17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Anthony Reyes</t>
        </is>
      </c>
      <c r="C40" s="15" t="inlineStr">
        <is>
          <t>/s/ Anthony Reyes</t>
        </is>
      </c>
      <c r="D40" s="28">
        <v>46062</v>
      </c>
    </row>
    <row r="41" ht="50.5" customHeight="1">
      <c r="A41" s="12" t="inlineStr">
        <is>
          <t>IT Support Lead</t>
        </is>
      </c>
      <c r="B41" s="15" t="inlineStr">
        <is>
          <t>Priya Nair</t>
        </is>
      </c>
      <c r="C41" s="15" t="inlineStr">
        <is>
          <t>/s/ Priya Nair</t>
        </is>
      </c>
      <c r="D41" s="28">
        <v>46062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</t>
        </is>
      </c>
      <c r="B45" s="27">
        <v>46062</v>
      </c>
      <c r="C45" s="12" t="inlineStr">
        <is>
          <t>Priya Nair</t>
        </is>
      </c>
      <c r="D45" s="12" t="inlineStr">
        <is>
          <t>Initial adoption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2026-07-14T16:18:19Z</dcterms:modified>
  <cp:lastModifiedBy/>
  <cp:revision>0</cp:revision>
  <dc:title xmlns:dc="http://purl.org/dc/elements/1.1/">Certificate Inventory - EXAMPLE - M</dc:title>
</cp:coreProperties>
</file>
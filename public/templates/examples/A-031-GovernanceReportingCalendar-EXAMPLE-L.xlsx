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<sst xmlns="http://schemas.openxmlformats.org/spreadsheetml/2006/main" count="106" uniqueCount="79">
  <si>
    <t xml:space="preserve">Tri-River Regional 911 Center   ·   Worked Example</t>
  </si>
  <si>
    <t xml:space="preserve">Governance Reporting Calendar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</si>
  <si>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</si>
  <si>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</si>
  <si>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</si>
  <si>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</si>
  <si>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</si>
  <si>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</si>
  <si>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</si>
  <si>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</si>
  <si>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</si>
  <si>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</si>
  <si>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</si>
  <si>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</si>
  <si>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</si>
  <si>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</si>
  <si>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</si>
  <si>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</si>
  <si>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</si>
  <si>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</si>
  <si>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Executive Director + leadership</t>
  </si>
  <si>
    <t xml:space="preserve">2026-04-02</t>
  </si>
  <si>
    <t xml:space="preserve">2026-07-02</t>
  </si>
  <si>
    <t xml:space="preserve">On track</t>
  </si>
  <si>
    <t xml:space="preserve">Security metrics report to oversight board</t>
  </si>
  <si>
    <t xml:space="preserve">Regional oversight board</t>
  </si>
  <si>
    <t xml:space="preserve">2026-04-10</t>
  </si>
  <si>
    <t xml:space="preserve">2026-07-10</t>
  </si>
  <si>
    <t xml:space="preserve">Operational security metrics review</t>
  </si>
  <si>
    <t xml:space="preserve">Monthly</t>
  </si>
  <si>
    <t xml:space="preserve">IT Director</t>
  </si>
  <si>
    <t xml:space="preserve">2026-05-01</t>
  </si>
  <si>
    <t xml:space="preserve">2026-06-01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</si>
  <si>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</si>
  <si>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</si>
  <si>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</si>
  <si>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</si>
  <si>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</si>
  <si>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</si>
  <si>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2026-05-05</t>
  </si>
  <si>
    <t xml:space="preserve">2026-06-05</t>
  </si>
  <si>
    <t xml:space="preserve">Continuous monitoring report</t>
  </si>
  <si>
    <t xml:space="preserve">SOC Analyst</t>
  </si>
  <si>
    <t xml:space="preserve">2026-05-03</t>
  </si>
  <si>
    <t xml:space="preserve">2026-06-03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</si>
  <si>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</si>
  <si>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</si>
  <si>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</si>
  <si>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Executive Director</t>
  </si>
  <si>
    <t xml:space="preserve">2025-08-25</t>
  </si>
  <si>
    <t xml:space="preserve">2026-08-25</t>
  </si>
  <si>
    <t xml:space="preserve">Training completion review</t>
  </si>
  <si>
    <t xml:space="preserve">Training Coordinator</t>
  </si>
  <si>
    <t xml:space="preserve">2026-04-08</t>
  </si>
  <si>
    <t xml:space="preserve">2026-07-08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</si>
  <si>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</si>
  <si>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</si>
  <si>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</si>
  <si>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</si>
  <si>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</si>
  <si>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Information Security Analyst notifies the IT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</si>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</sst>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71438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36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36" hidden="false" customHeight="true" outlineLevel="0" collapsed="false">
      <c r="A14" s="7" t="s">
        <v>33</v>
      </c>
      <c r="B14" s="7" t="s">
        <v>34</v>
      </c>
      <c r="C14" s="7" t="s">
        <v>35</v>
      </c>
      <c r="D14" s="7" t="s">
        <v>5</v>
      </c>
      <c r="E14" s="7" t="s">
        <v>36</v>
      </c>
      <c r="F14" s="7" t="s">
        <v>37</v>
      </c>
      <c r="G14" s="7" t="s">
        <v>23</v>
      </c>
    </row>
    <row r="15" customFormat="false" ht="36" hidden="false" customHeight="true" outlineLevel="0" collapsed="false">
      <c r="A15" s="7" t="s">
        <v>38</v>
      </c>
      <c r="B15" s="7" t="s">
        <v>29</v>
      </c>
      <c r="C15" s="7" t="s">
        <v>30</v>
      </c>
      <c r="D15" s="7" t="s">
        <v>5</v>
      </c>
      <c r="E15" s="7" t="s">
        <v>39</v>
      </c>
      <c r="F15" s="7" t="s">
        <v>40</v>
      </c>
      <c r="G15" s="7" t="s">
        <v>23</v>
      </c>
    </row>
    <row r="16" customFormat="false" ht="27.75" hidden="false" customHeight="true" outlineLevel="0" collapsed="false">
      <c r="A16" s="7" t="s">
        <v>41</v>
      </c>
      <c r="B16" s="7" t="s">
        <v>29</v>
      </c>
      <c r="C16" s="7" t="s">
        <v>30</v>
      </c>
      <c r="D16" s="7" t="s">
        <v>42</v>
      </c>
      <c r="E16" s="7" t="s">
        <v>43</v>
      </c>
      <c r="F16" s="7" t="s">
        <v>44</v>
      </c>
      <c r="G16" s="7" t="s">
        <v>23</v>
      </c>
    </row>
    <row r="17" customFormat="false" ht="36" hidden="false" customHeight="true" outlineLevel="0" collapsed="false">
      <c r="A17" s="7" t="s">
        <v>45</v>
      </c>
      <c r="B17" s="7" t="s">
        <v>46</v>
      </c>
      <c r="C17" s="7" t="s">
        <v>47</v>
      </c>
      <c r="D17" s="7" t="s">
        <v>48</v>
      </c>
      <c r="E17" s="7" t="s">
        <v>49</v>
      </c>
      <c r="F17" s="7" t="s">
        <v>50</v>
      </c>
      <c r="G17" s="7" t="s">
        <v>23</v>
      </c>
    </row>
    <row r="18" customFormat="false" ht="27.75" hidden="false" customHeight="true" outlineLevel="0" collapsed="false">
      <c r="A18" s="7" t="s">
        <v>51</v>
      </c>
      <c r="B18" s="7" t="s">
        <v>19</v>
      </c>
      <c r="C18" s="7" t="s">
        <v>48</v>
      </c>
      <c r="D18" s="7" t="s">
        <v>52</v>
      </c>
      <c r="E18" s="7" t="s">
        <v>53</v>
      </c>
      <c r="F18" s="7" t="s">
        <v>54</v>
      </c>
      <c r="G18" s="7" t="s">
        <v>23</v>
      </c>
    </row>
    <row r="20" customFormat="false" ht="15" hidden="false" customHeight="false" outlineLevel="0" collapsed="false">
      <c r="A20" s="5" t="s">
        <v>55</v>
      </c>
      <c r="B20" s="5"/>
      <c r="C20" s="5"/>
      <c r="D20" s="5"/>
      <c r="E20" s="5"/>
      <c r="F20" s="5"/>
      <c r="G20" s="5"/>
    </row>
    <row r="21" customFormat="false" ht="15" hidden="false" customHeight="false" outlineLevel="0" collapsed="false">
      <c r="A21" s="8" t="s">
        <v>56</v>
      </c>
      <c r="C21" s="8" t="n">
        <f aca="false">COUNTA(A11:A18)</f>
        <v>8</v>
      </c>
    </row>
    <row r="22" customFormat="false" ht="15" hidden="false" customHeight="false" outlineLevel="0" collapsed="false">
      <c r="A22" s="8" t="s">
        <v>57</v>
      </c>
      <c r="C22" s="8" t="n">
        <f aca="false">COUNTIF(G11:G18,"Overdue")</f>
        <v>0</v>
      </c>
    </row>
    <row r="23" customFormat="false" ht="15" hidden="false" customHeight="false" outlineLevel="0" collapsed="false">
      <c r="A23" s="8" t="s">
        <v>58</v>
      </c>
      <c r="C23" s="8" t="n">
        <f aca="true">COUNTIF(F11:F18,"&lt;"&amp;TODAY())</f>
        <v>0</v>
      </c>
    </row>
    <row r="25" customFormat="false" ht="15" hidden="false" customHeight="false" outlineLevel="0" collapsed="false">
      <c r="A25" s="5" t="s">
        <v>59</v>
      </c>
      <c r="B25" s="5"/>
      <c r="C25" s="5"/>
      <c r="D25" s="5"/>
      <c r="E25" s="5"/>
      <c r="F25" s="5"/>
      <c r="G25" s="5"/>
    </row>
    <row r="26" customFormat="false" ht="60" hidden="false" customHeight="true" outlineLevel="0" collapsed="false">
      <c r="A26" s="9" t="s">
        <v>60</v>
      </c>
      <c r="B26" s="9"/>
      <c r="C26" s="9"/>
      <c r="D26" s="9"/>
      <c r="E26" s="9"/>
      <c r="F26" s="9"/>
      <c r="G26" s="9"/>
    </row>
    <row r="28" customFormat="false" ht="15" hidden="false" customHeight="false" outlineLevel="0" collapsed="false">
      <c r="A28" s="5" t="s">
        <v>61</v>
      </c>
      <c r="B28" s="5"/>
      <c r="C28" s="5"/>
      <c r="D28" s="5"/>
      <c r="E28" s="5"/>
      <c r="F28" s="5"/>
      <c r="G28" s="5"/>
    </row>
    <row r="29" customFormat="false" ht="15" hidden="false" customHeight="false" outlineLevel="0" collapsed="false">
      <c r="A29" s="10" t="s">
        <v>62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63</v>
      </c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 t="s">
        <v>64</v>
      </c>
      <c r="B31" s="10"/>
      <c r="C31" s="10"/>
      <c r="D31" s="10"/>
      <c r="E31" s="10"/>
      <c r="F31" s="10"/>
      <c r="G31" s="10"/>
    </row>
    <row r="33" customFormat="false" ht="15" hidden="false" customHeight="false" outlineLevel="0" collapsed="false">
      <c r="A33" s="5" t="s">
        <v>65</v>
      </c>
      <c r="B33" s="5"/>
      <c r="C33" s="5"/>
      <c r="D33" s="5"/>
      <c r="E33" s="5"/>
      <c r="F33" s="5"/>
      <c r="G33" s="5"/>
    </row>
    <row r="34" customFormat="false" ht="15" hidden="false" customHeight="false" outlineLevel="0" collapsed="false">
      <c r="A34" s="11" t="s">
        <v>66</v>
      </c>
      <c r="B34" s="11" t="s">
        <v>67</v>
      </c>
      <c r="C34" s="11" t="s">
        <v>68</v>
      </c>
      <c r="D34" s="11" t="s">
        <v>69</v>
      </c>
    </row>
    <row r="35" customFormat="false" ht="25.5" hidden="false" customHeight="true" outlineLevel="0" collapsed="false">
      <c r="A35" s="12" t="s">
        <v>48</v>
      </c>
      <c r="B35" s="12" t="s">
        <v>70</v>
      </c>
      <c r="C35" s="12" t="s">
        <v>70</v>
      </c>
      <c r="D35" s="12" t="s">
        <v>71</v>
      </c>
    </row>
    <row r="36" customFormat="false" ht="25.5" hidden="false" customHeight="true" outlineLevel="0" collapsed="false">
      <c r="A36" s="12" t="s">
        <v>5</v>
      </c>
      <c r="B36" s="12" t="s">
        <v>72</v>
      </c>
      <c r="C36" s="12" t="s">
        <v>72</v>
      </c>
      <c r="D36" s="12" t="s">
        <v>71</v>
      </c>
    </row>
    <row r="38" customFormat="false" ht="15" hidden="false" customHeight="false" outlineLevel="0" collapsed="false">
      <c r="A38" s="5" t="s">
        <v>73</v>
      </c>
      <c r="B38" s="5"/>
      <c r="C38" s="5"/>
      <c r="D38" s="5"/>
      <c r="E38" s="5"/>
      <c r="F38" s="5"/>
      <c r="G38" s="5"/>
    </row>
    <row r="39" customFormat="false" ht="15" hidden="false" customHeight="false" outlineLevel="0" collapsed="false">
      <c r="A39" s="11" t="s">
        <v>74</v>
      </c>
      <c r="B39" s="11" t="s">
        <v>69</v>
      </c>
      <c r="C39" s="11" t="s">
        <v>75</v>
      </c>
      <c r="D39" s="11" t="s">
        <v>76</v>
      </c>
    </row>
    <row r="40" customFormat="false" ht="15" hidden="false" customHeight="false" outlineLevel="0" collapsed="false">
      <c r="A40" s="12" t="s">
        <v>77</v>
      </c>
      <c r="B40" s="12" t="s">
        <v>71</v>
      </c>
      <c r="C40" s="12" t="s">
        <v>5</v>
      </c>
      <c r="D40" s="12" t="s">
        <v>78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20:G20"/>
    <mergeCell ref="A25:G25"/>
    <mergeCell ref="A26:G26"/>
    <mergeCell ref="A28:G28"/>
    <mergeCell ref="A29:G29"/>
    <mergeCell ref="A30:G30"/>
    <mergeCell ref="A31:G31"/>
    <mergeCell ref="A33:G33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
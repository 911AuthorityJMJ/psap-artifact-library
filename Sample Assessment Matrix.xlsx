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jasonjeffares/Developer/psap-artifact-library/"/>
    </mc:Choice>
  </mc:AlternateContent>
  <xr:revisionPtr revIDLastSave="0" documentId="13_ncr:1_{4B1DA4E1-ED86-5046-A339-B5556132E53A}" xr6:coauthVersionLast="47" xr6:coauthVersionMax="47" xr10:uidLastSave="{00000000-0000-0000-0000-000000000000}"/>
  <bookViews>
    <workbookView xWindow="-18700" yWindow="-21000" windowWidth="33480" windowHeight="21000" activeTab="2" xr2:uid="{00000000-000D-0000-FFFF-FFFF00000000}"/>
  </bookViews>
  <sheets>
    <sheet name="General Information" sheetId="1" r:id="rId1"/>
    <sheet name="PSAP Information" sheetId="2" r:id="rId2"/>
    <sheet name="Question Set" sheetId="3" r:id="rId3"/>
    <sheet name="Full Score Table" sheetId="4" r:id="rId4"/>
    <sheet name="Domain-Level Score Table" sheetId="5" r:id="rId5"/>
    <sheet name="Bar Chart" sheetId="6" r:id="rId6"/>
    <sheet name="Radar Chart" sheetId="7" r:id="rId7"/>
    <sheet name="-HIDE- Drop Downs | Maths" sheetId="8" state="hidden" r:id="rId8"/>
  </sheets>
  <definedNames>
    <definedName name="_xlnm.Print_Area" localSheetId="2">'Question Set'!$A$2:$G$313</definedName>
    <definedName name="_xlnm.Print_Titles" localSheetId="2">'Question Set'!$A:$A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7" i="4" l="1"/>
  <c r="J66" i="4"/>
  <c r="I66" i="4"/>
  <c r="H66" i="4"/>
  <c r="K66" i="4" s="1"/>
  <c r="G66" i="4"/>
  <c r="F66" i="4"/>
  <c r="M66" i="4" s="1"/>
  <c r="E66" i="4"/>
  <c r="J65" i="4"/>
  <c r="I65" i="4"/>
  <c r="H65" i="4"/>
  <c r="K65" i="4" s="1"/>
  <c r="G65" i="4"/>
  <c r="F65" i="4"/>
  <c r="M65" i="4" s="1"/>
  <c r="E65" i="4"/>
  <c r="J64" i="4"/>
  <c r="J67" i="4" s="1"/>
  <c r="H15" i="5" s="1"/>
  <c r="I64" i="4"/>
  <c r="I67" i="4" s="1"/>
  <c r="G15" i="5" s="1"/>
  <c r="H64" i="4"/>
  <c r="G64" i="4"/>
  <c r="G67" i="4" s="1"/>
  <c r="E15" i="5" s="1"/>
  <c r="F64" i="4"/>
  <c r="E64" i="4"/>
  <c r="E67" i="4" s="1"/>
  <c r="C15" i="5" s="1"/>
  <c r="D63" i="4"/>
  <c r="J62" i="4"/>
  <c r="I62" i="4"/>
  <c r="H62" i="4"/>
  <c r="K62" i="4" s="1"/>
  <c r="G62" i="4"/>
  <c r="F62" i="4"/>
  <c r="M62" i="4" s="1"/>
  <c r="E62" i="4"/>
  <c r="J61" i="4"/>
  <c r="J63" i="4" s="1"/>
  <c r="H14" i="5" s="1"/>
  <c r="I61" i="4"/>
  <c r="I63" i="4" s="1"/>
  <c r="G14" i="5" s="1"/>
  <c r="H61" i="4"/>
  <c r="G61" i="4"/>
  <c r="G63" i="4" s="1"/>
  <c r="E14" i="5" s="1"/>
  <c r="F61" i="4"/>
  <c r="E61" i="4"/>
  <c r="E63" i="4" s="1"/>
  <c r="C14" i="5" s="1"/>
  <c r="D60" i="4"/>
  <c r="J59" i="4"/>
  <c r="I59" i="4"/>
  <c r="H59" i="4"/>
  <c r="K59" i="4" s="1"/>
  <c r="G59" i="4"/>
  <c r="F59" i="4"/>
  <c r="M59" i="4" s="1"/>
  <c r="E59" i="4"/>
  <c r="J58" i="4"/>
  <c r="J60" i="4" s="1"/>
  <c r="H13" i="5" s="1"/>
  <c r="I58" i="4"/>
  <c r="I60" i="4" s="1"/>
  <c r="G13" i="5" s="1"/>
  <c r="H58" i="4"/>
  <c r="K58" i="4" s="1"/>
  <c r="G58" i="4"/>
  <c r="F58" i="4"/>
  <c r="M58" i="4" s="1"/>
  <c r="E58" i="4"/>
  <c r="M57" i="4"/>
  <c r="J57" i="4"/>
  <c r="I57" i="4"/>
  <c r="H57" i="4"/>
  <c r="K57" i="4" s="1"/>
  <c r="G57" i="4"/>
  <c r="F57" i="4"/>
  <c r="E57" i="4"/>
  <c r="J56" i="4"/>
  <c r="I56" i="4"/>
  <c r="H56" i="4"/>
  <c r="G56" i="4"/>
  <c r="G60" i="4" s="1"/>
  <c r="E13" i="5" s="1"/>
  <c r="F56" i="4"/>
  <c r="E56" i="4"/>
  <c r="E60" i="4" s="1"/>
  <c r="C13" i="5" s="1"/>
  <c r="D55" i="4"/>
  <c r="J54" i="4"/>
  <c r="I54" i="4"/>
  <c r="H54" i="4"/>
  <c r="K54" i="4" s="1"/>
  <c r="G54" i="4"/>
  <c r="F54" i="4"/>
  <c r="M54" i="4" s="1"/>
  <c r="E54" i="4"/>
  <c r="J53" i="4"/>
  <c r="I53" i="4"/>
  <c r="H53" i="4"/>
  <c r="K53" i="4" s="1"/>
  <c r="G53" i="4"/>
  <c r="F53" i="4"/>
  <c r="M53" i="4" s="1"/>
  <c r="E53" i="4"/>
  <c r="J52" i="4"/>
  <c r="I52" i="4"/>
  <c r="H52" i="4"/>
  <c r="K52" i="4" s="1"/>
  <c r="G52" i="4"/>
  <c r="F52" i="4"/>
  <c r="M52" i="4" s="1"/>
  <c r="E52" i="4"/>
  <c r="J51" i="4"/>
  <c r="I51" i="4"/>
  <c r="H51" i="4"/>
  <c r="K51" i="4" s="1"/>
  <c r="G51" i="4"/>
  <c r="F51" i="4"/>
  <c r="M51" i="4" s="1"/>
  <c r="E51" i="4"/>
  <c r="J50" i="4"/>
  <c r="J55" i="4" s="1"/>
  <c r="H12" i="5" s="1"/>
  <c r="I50" i="4"/>
  <c r="I55" i="4" s="1"/>
  <c r="G12" i="5" s="1"/>
  <c r="H50" i="4"/>
  <c r="G50" i="4"/>
  <c r="G55" i="4" s="1"/>
  <c r="E12" i="5" s="1"/>
  <c r="F50" i="4"/>
  <c r="E50" i="4"/>
  <c r="E55" i="4" s="1"/>
  <c r="C12" i="5" s="1"/>
  <c r="J49" i="4"/>
  <c r="H11" i="5" s="1"/>
  <c r="I49" i="4"/>
  <c r="G11" i="5" s="1"/>
  <c r="D49" i="4"/>
  <c r="M48" i="4"/>
  <c r="K48" i="4"/>
  <c r="J48" i="4"/>
  <c r="I48" i="4"/>
  <c r="H48" i="4"/>
  <c r="G48" i="4"/>
  <c r="F48" i="4"/>
  <c r="E48" i="4"/>
  <c r="J47" i="4"/>
  <c r="I47" i="4"/>
  <c r="H47" i="4"/>
  <c r="K47" i="4" s="1"/>
  <c r="G47" i="4"/>
  <c r="F47" i="4"/>
  <c r="M47" i="4" s="1"/>
  <c r="E47" i="4"/>
  <c r="J46" i="4"/>
  <c r="I46" i="4"/>
  <c r="H46" i="4"/>
  <c r="K46" i="4" s="1"/>
  <c r="G46" i="4"/>
  <c r="F46" i="4"/>
  <c r="M46" i="4" s="1"/>
  <c r="E46" i="4"/>
  <c r="J45" i="4"/>
  <c r="I45" i="4"/>
  <c r="H45" i="4"/>
  <c r="G45" i="4"/>
  <c r="G49" i="4" s="1"/>
  <c r="E11" i="5" s="1"/>
  <c r="F45" i="4"/>
  <c r="E45" i="4"/>
  <c r="E49" i="4" s="1"/>
  <c r="C11" i="5" s="1"/>
  <c r="D44" i="4"/>
  <c r="J43" i="4"/>
  <c r="I43" i="4"/>
  <c r="H43" i="4"/>
  <c r="K43" i="4" s="1"/>
  <c r="G43" i="4"/>
  <c r="F43" i="4"/>
  <c r="M43" i="4" s="1"/>
  <c r="E43" i="4"/>
  <c r="J42" i="4"/>
  <c r="I42" i="4"/>
  <c r="H42" i="4"/>
  <c r="K42" i="4" s="1"/>
  <c r="G42" i="4"/>
  <c r="F42" i="4"/>
  <c r="M42" i="4" s="1"/>
  <c r="E42" i="4"/>
  <c r="J41" i="4"/>
  <c r="J44" i="4" s="1"/>
  <c r="H10" i="5" s="1"/>
  <c r="I41" i="4"/>
  <c r="I44" i="4" s="1"/>
  <c r="G10" i="5" s="1"/>
  <c r="H41" i="4"/>
  <c r="G41" i="4"/>
  <c r="G44" i="4" s="1"/>
  <c r="E10" i="5" s="1"/>
  <c r="F41" i="4"/>
  <c r="E41" i="4"/>
  <c r="E44" i="4" s="1"/>
  <c r="C10" i="5" s="1"/>
  <c r="I40" i="4"/>
  <c r="G9" i="5" s="1"/>
  <c r="H40" i="4"/>
  <c r="G40" i="4"/>
  <c r="E9" i="5" s="1"/>
  <c r="F40" i="4"/>
  <c r="E40" i="4"/>
  <c r="C9" i="5" s="1"/>
  <c r="D40" i="4"/>
  <c r="J39" i="4"/>
  <c r="I39" i="4"/>
  <c r="H39" i="4"/>
  <c r="G39" i="4"/>
  <c r="F39" i="4"/>
  <c r="E39" i="4"/>
  <c r="J38" i="4"/>
  <c r="I38" i="4"/>
  <c r="H38" i="4"/>
  <c r="K38" i="4" s="1"/>
  <c r="G38" i="4"/>
  <c r="F38" i="4"/>
  <c r="M38" i="4" s="1"/>
  <c r="E38" i="4"/>
  <c r="J37" i="4"/>
  <c r="I37" i="4"/>
  <c r="H37" i="4"/>
  <c r="K37" i="4" s="1"/>
  <c r="G37" i="4"/>
  <c r="F37" i="4"/>
  <c r="M37" i="4" s="1"/>
  <c r="E37" i="4"/>
  <c r="J36" i="4"/>
  <c r="I36" i="4"/>
  <c r="H36" i="4"/>
  <c r="K36" i="4" s="1"/>
  <c r="G36" i="4"/>
  <c r="F36" i="4"/>
  <c r="M36" i="4" s="1"/>
  <c r="E36" i="4"/>
  <c r="D35" i="4"/>
  <c r="J34" i="4"/>
  <c r="I34" i="4"/>
  <c r="H34" i="4"/>
  <c r="K34" i="4" s="1"/>
  <c r="G34" i="4"/>
  <c r="F34" i="4"/>
  <c r="M34" i="4" s="1"/>
  <c r="E34" i="4"/>
  <c r="J33" i="4"/>
  <c r="I33" i="4"/>
  <c r="H33" i="4"/>
  <c r="K33" i="4" s="1"/>
  <c r="G33" i="4"/>
  <c r="F33" i="4"/>
  <c r="M33" i="4" s="1"/>
  <c r="E33" i="4"/>
  <c r="J32" i="4"/>
  <c r="J35" i="4" s="1"/>
  <c r="H8" i="5" s="1"/>
  <c r="I32" i="4"/>
  <c r="I35" i="4" s="1"/>
  <c r="G8" i="5" s="1"/>
  <c r="H32" i="4"/>
  <c r="G32" i="4"/>
  <c r="G35" i="4" s="1"/>
  <c r="E8" i="5" s="1"/>
  <c r="F32" i="4"/>
  <c r="E32" i="4"/>
  <c r="E35" i="4" s="1"/>
  <c r="C8" i="5" s="1"/>
  <c r="H31" i="4"/>
  <c r="G31" i="4"/>
  <c r="E7" i="5" s="1"/>
  <c r="F31" i="4"/>
  <c r="E31" i="4"/>
  <c r="C7" i="5" s="1"/>
  <c r="D31" i="4"/>
  <c r="J30" i="4"/>
  <c r="J31" i="4" s="1"/>
  <c r="H7" i="5" s="1"/>
  <c r="I30" i="4"/>
  <c r="H30" i="4"/>
  <c r="G30" i="4"/>
  <c r="F30" i="4"/>
  <c r="E30" i="4"/>
  <c r="J29" i="4"/>
  <c r="I29" i="4"/>
  <c r="H29" i="4"/>
  <c r="K29" i="4" s="1"/>
  <c r="G29" i="4"/>
  <c r="F29" i="4"/>
  <c r="M29" i="4" s="1"/>
  <c r="E29" i="4"/>
  <c r="J28" i="4"/>
  <c r="I28" i="4"/>
  <c r="H28" i="4"/>
  <c r="K28" i="4" s="1"/>
  <c r="G28" i="4"/>
  <c r="F28" i="4"/>
  <c r="M28" i="4" s="1"/>
  <c r="E28" i="4"/>
  <c r="J27" i="4"/>
  <c r="I27" i="4"/>
  <c r="H27" i="4"/>
  <c r="K27" i="4" s="1"/>
  <c r="G27" i="4"/>
  <c r="F27" i="4"/>
  <c r="M27" i="4" s="1"/>
  <c r="E27" i="4"/>
  <c r="D26" i="4"/>
  <c r="J25" i="4"/>
  <c r="I25" i="4"/>
  <c r="H25" i="4"/>
  <c r="K25" i="4" s="1"/>
  <c r="G25" i="4"/>
  <c r="F25" i="4"/>
  <c r="M25" i="4" s="1"/>
  <c r="E25" i="4"/>
  <c r="J24" i="4"/>
  <c r="I24" i="4"/>
  <c r="H24" i="4"/>
  <c r="K24" i="4" s="1"/>
  <c r="G24" i="4"/>
  <c r="F24" i="4"/>
  <c r="M24" i="4" s="1"/>
  <c r="E24" i="4"/>
  <c r="J23" i="4"/>
  <c r="I23" i="4"/>
  <c r="H23" i="4"/>
  <c r="K23" i="4" s="1"/>
  <c r="G23" i="4"/>
  <c r="F23" i="4"/>
  <c r="M23" i="4" s="1"/>
  <c r="E23" i="4"/>
  <c r="J22" i="4"/>
  <c r="I22" i="4"/>
  <c r="H22" i="4"/>
  <c r="K22" i="4" s="1"/>
  <c r="G22" i="4"/>
  <c r="F22" i="4"/>
  <c r="E22" i="4"/>
  <c r="E26" i="4" s="1"/>
  <c r="C6" i="5" s="1"/>
  <c r="J21" i="4"/>
  <c r="J26" i="4" s="1"/>
  <c r="H6" i="5" s="1"/>
  <c r="I21" i="4"/>
  <c r="I26" i="4" s="1"/>
  <c r="G6" i="5" s="1"/>
  <c r="H21" i="4"/>
  <c r="G21" i="4"/>
  <c r="F21" i="4"/>
  <c r="E21" i="4"/>
  <c r="J20" i="4"/>
  <c r="I20" i="4"/>
  <c r="H20" i="4"/>
  <c r="K20" i="4" s="1"/>
  <c r="G20" i="4"/>
  <c r="F20" i="4"/>
  <c r="M20" i="4" s="1"/>
  <c r="E20" i="4"/>
  <c r="D19" i="4"/>
  <c r="J18" i="4"/>
  <c r="I18" i="4"/>
  <c r="H18" i="4"/>
  <c r="K18" i="4" s="1"/>
  <c r="G18" i="4"/>
  <c r="F18" i="4"/>
  <c r="M18" i="4" s="1"/>
  <c r="E18" i="4"/>
  <c r="J17" i="4"/>
  <c r="I17" i="4"/>
  <c r="H17" i="4"/>
  <c r="K17" i="4" s="1"/>
  <c r="G17" i="4"/>
  <c r="F17" i="4"/>
  <c r="M17" i="4" s="1"/>
  <c r="E17" i="4"/>
  <c r="J16" i="4"/>
  <c r="J19" i="4" s="1"/>
  <c r="H5" i="5" s="1"/>
  <c r="I16" i="4"/>
  <c r="I19" i="4" s="1"/>
  <c r="G5" i="5" s="1"/>
  <c r="H16" i="4"/>
  <c r="G16" i="4"/>
  <c r="G19" i="4" s="1"/>
  <c r="E5" i="5" s="1"/>
  <c r="F16" i="4"/>
  <c r="E16" i="4"/>
  <c r="E19" i="4" s="1"/>
  <c r="C5" i="5" s="1"/>
  <c r="D15" i="4"/>
  <c r="J14" i="4"/>
  <c r="I14" i="4"/>
  <c r="H14" i="4"/>
  <c r="K14" i="4" s="1"/>
  <c r="G14" i="4"/>
  <c r="F14" i="4"/>
  <c r="M14" i="4" s="1"/>
  <c r="E14" i="4"/>
  <c r="J13" i="4"/>
  <c r="I13" i="4"/>
  <c r="H13" i="4"/>
  <c r="K13" i="4" s="1"/>
  <c r="G13" i="4"/>
  <c r="F13" i="4"/>
  <c r="M13" i="4" s="1"/>
  <c r="E13" i="4"/>
  <c r="J12" i="4"/>
  <c r="I12" i="4"/>
  <c r="H12" i="4"/>
  <c r="K12" i="4" s="1"/>
  <c r="G12" i="4"/>
  <c r="F12" i="4"/>
  <c r="M12" i="4" s="1"/>
  <c r="E12" i="4"/>
  <c r="J11" i="4"/>
  <c r="I11" i="4"/>
  <c r="H11" i="4"/>
  <c r="K11" i="4" s="1"/>
  <c r="G11" i="4"/>
  <c r="F11" i="4"/>
  <c r="M11" i="4" s="1"/>
  <c r="E11" i="4"/>
  <c r="J10" i="4"/>
  <c r="I10" i="4"/>
  <c r="H10" i="4"/>
  <c r="K10" i="4" s="1"/>
  <c r="G10" i="4"/>
  <c r="F10" i="4"/>
  <c r="M10" i="4" s="1"/>
  <c r="E10" i="4"/>
  <c r="J9" i="4"/>
  <c r="J15" i="4" s="1"/>
  <c r="H4" i="5" s="1"/>
  <c r="I9" i="4"/>
  <c r="I15" i="4" s="1"/>
  <c r="G4" i="5" s="1"/>
  <c r="H9" i="4"/>
  <c r="G9" i="4"/>
  <c r="G15" i="4" s="1"/>
  <c r="E4" i="5" s="1"/>
  <c r="F9" i="4"/>
  <c r="E9" i="4"/>
  <c r="E15" i="4" s="1"/>
  <c r="C4" i="5" s="1"/>
  <c r="D8" i="4"/>
  <c r="J7" i="4"/>
  <c r="I7" i="4"/>
  <c r="H7" i="4"/>
  <c r="K7" i="4" s="1"/>
  <c r="G7" i="4"/>
  <c r="F7" i="4"/>
  <c r="M7" i="4" s="1"/>
  <c r="E7" i="4"/>
  <c r="J6" i="4"/>
  <c r="I6" i="4"/>
  <c r="H6" i="4"/>
  <c r="K6" i="4" s="1"/>
  <c r="G6" i="4"/>
  <c r="F6" i="4"/>
  <c r="M6" i="4" s="1"/>
  <c r="E6" i="4"/>
  <c r="J5" i="4"/>
  <c r="I5" i="4"/>
  <c r="H5" i="4"/>
  <c r="K5" i="4" s="1"/>
  <c r="G5" i="4"/>
  <c r="F5" i="4"/>
  <c r="M5" i="4" s="1"/>
  <c r="E5" i="4"/>
  <c r="J4" i="4"/>
  <c r="J8" i="4" s="1"/>
  <c r="I4" i="4"/>
  <c r="I8" i="4" s="1"/>
  <c r="H4" i="4"/>
  <c r="G4" i="4"/>
  <c r="G8" i="4" s="1"/>
  <c r="F4" i="4"/>
  <c r="E4" i="4"/>
  <c r="E8" i="4" s="1"/>
  <c r="B13" i="2"/>
  <c r="K64" i="4" l="1"/>
  <c r="H67" i="4"/>
  <c r="F67" i="4"/>
  <c r="M64" i="4"/>
  <c r="H63" i="4"/>
  <c r="K61" i="4"/>
  <c r="M61" i="4"/>
  <c r="F63" i="4"/>
  <c r="H60" i="4"/>
  <c r="K56" i="4"/>
  <c r="F60" i="4"/>
  <c r="M56" i="4"/>
  <c r="K50" i="4"/>
  <c r="H55" i="4"/>
  <c r="M50" i="4"/>
  <c r="F55" i="4"/>
  <c r="K45" i="4"/>
  <c r="H49" i="4"/>
  <c r="F49" i="4"/>
  <c r="M45" i="4"/>
  <c r="K41" i="4"/>
  <c r="H44" i="4"/>
  <c r="F44" i="4"/>
  <c r="M41" i="4"/>
  <c r="F9" i="5"/>
  <c r="D9" i="5"/>
  <c r="K39" i="4"/>
  <c r="J40" i="4"/>
  <c r="M39" i="4"/>
  <c r="K32" i="4"/>
  <c r="H35" i="4"/>
  <c r="M32" i="4"/>
  <c r="F35" i="4"/>
  <c r="F7" i="5"/>
  <c r="D7" i="5"/>
  <c r="I31" i="4"/>
  <c r="M30" i="4"/>
  <c r="K30" i="4"/>
  <c r="F26" i="4"/>
  <c r="M22" i="4"/>
  <c r="K21" i="4"/>
  <c r="H26" i="4"/>
  <c r="M21" i="4"/>
  <c r="G26" i="4"/>
  <c r="K16" i="4"/>
  <c r="H19" i="4"/>
  <c r="M16" i="4"/>
  <c r="F19" i="4"/>
  <c r="H15" i="4"/>
  <c r="K9" i="4"/>
  <c r="F15" i="4"/>
  <c r="M9" i="4"/>
  <c r="H3" i="5"/>
  <c r="G3" i="5"/>
  <c r="I3" i="4"/>
  <c r="G16" i="5" s="1"/>
  <c r="H8" i="4"/>
  <c r="K4" i="4"/>
  <c r="E3" i="5"/>
  <c r="M4" i="4"/>
  <c r="F8" i="4"/>
  <c r="E3" i="4"/>
  <c r="C16" i="5" s="1"/>
  <c r="C3" i="5"/>
  <c r="D32" i="8"/>
  <c r="D33" i="8"/>
  <c r="D34" i="8"/>
  <c r="D35" i="8"/>
  <c r="D36" i="8"/>
  <c r="D37" i="8"/>
  <c r="D38" i="8"/>
  <c r="D39" i="8"/>
  <c r="D40" i="8"/>
  <c r="D41" i="8"/>
  <c r="D42" i="8"/>
  <c r="D43" i="8"/>
  <c r="D44" i="8"/>
  <c r="F15" i="5" l="1"/>
  <c r="K67" i="4"/>
  <c r="I15" i="5" s="1"/>
  <c r="C28" i="8" s="1"/>
  <c r="M67" i="4"/>
  <c r="K15" i="5" s="1"/>
  <c r="D28" i="8" s="1"/>
  <c r="D15" i="5"/>
  <c r="K63" i="4"/>
  <c r="I14" i="5" s="1"/>
  <c r="C27" i="8" s="1"/>
  <c r="F14" i="5"/>
  <c r="M63" i="4"/>
  <c r="K14" i="5" s="1"/>
  <c r="D27" i="8" s="1"/>
  <c r="D14" i="5"/>
  <c r="K60" i="4"/>
  <c r="I13" i="5" s="1"/>
  <c r="C26" i="8" s="1"/>
  <c r="F13" i="5"/>
  <c r="M60" i="4"/>
  <c r="K13" i="5" s="1"/>
  <c r="D26" i="8" s="1"/>
  <c r="D13" i="5"/>
  <c r="F12" i="5"/>
  <c r="K55" i="4"/>
  <c r="I12" i="5" s="1"/>
  <c r="C25" i="8" s="1"/>
  <c r="D12" i="5"/>
  <c r="M55" i="4"/>
  <c r="K12" i="5" s="1"/>
  <c r="D25" i="8" s="1"/>
  <c r="K49" i="4"/>
  <c r="I11" i="5" s="1"/>
  <c r="C24" i="8" s="1"/>
  <c r="F11" i="5"/>
  <c r="M49" i="4"/>
  <c r="K11" i="5" s="1"/>
  <c r="D24" i="8" s="1"/>
  <c r="D11" i="5"/>
  <c r="K44" i="4"/>
  <c r="I10" i="5" s="1"/>
  <c r="C23" i="8" s="1"/>
  <c r="F10" i="5"/>
  <c r="M44" i="4"/>
  <c r="K10" i="5" s="1"/>
  <c r="D23" i="8" s="1"/>
  <c r="D10" i="5"/>
  <c r="K35" i="4"/>
  <c r="I8" i="5" s="1"/>
  <c r="C21" i="8" s="1"/>
  <c r="F8" i="5"/>
  <c r="M35" i="4"/>
  <c r="K8" i="5" s="1"/>
  <c r="D21" i="8" s="1"/>
  <c r="D8" i="5"/>
  <c r="M26" i="4"/>
  <c r="K6" i="5" s="1"/>
  <c r="D19" i="8" s="1"/>
  <c r="D6" i="5"/>
  <c r="K26" i="4"/>
  <c r="I6" i="5" s="1"/>
  <c r="C19" i="8" s="1"/>
  <c r="F6" i="5"/>
  <c r="K19" i="4"/>
  <c r="I5" i="5" s="1"/>
  <c r="C18" i="8" s="1"/>
  <c r="F5" i="5"/>
  <c r="M19" i="4"/>
  <c r="K5" i="5" s="1"/>
  <c r="D18" i="8" s="1"/>
  <c r="D5" i="5"/>
  <c r="K15" i="4"/>
  <c r="I4" i="5" s="1"/>
  <c r="C17" i="8" s="1"/>
  <c r="F4" i="5"/>
  <c r="M15" i="4"/>
  <c r="K4" i="5" s="1"/>
  <c r="D17" i="8" s="1"/>
  <c r="D4" i="5"/>
  <c r="F3" i="5"/>
  <c r="H3" i="4"/>
  <c r="K8" i="4"/>
  <c r="I3" i="5" s="1"/>
  <c r="C16" i="8" s="1"/>
  <c r="M8" i="4"/>
  <c r="K3" i="5" s="1"/>
  <c r="D16" i="8" s="1"/>
  <c r="D3" i="5"/>
  <c r="F3" i="4"/>
  <c r="H9" i="5"/>
  <c r="K40" i="4"/>
  <c r="I9" i="5" s="1"/>
  <c r="C22" i="8" s="1"/>
  <c r="M40" i="4"/>
  <c r="K9" i="5" s="1"/>
  <c r="D22" i="8" s="1"/>
  <c r="J3" i="4"/>
  <c r="H16" i="5" s="1"/>
  <c r="G7" i="5"/>
  <c r="K31" i="4"/>
  <c r="I7" i="5" s="1"/>
  <c r="C20" i="8" s="1"/>
  <c r="M31" i="4"/>
  <c r="K7" i="5" s="1"/>
  <c r="D20" i="8" s="1"/>
  <c r="E6" i="5"/>
  <c r="G3" i="4"/>
  <c r="E16" i="5" s="1"/>
  <c r="E28" i="8" l="1"/>
  <c r="C44" i="8" s="1"/>
  <c r="G28" i="8"/>
  <c r="B28" i="8" s="1"/>
  <c r="B44" i="8" s="1"/>
  <c r="E27" i="8"/>
  <c r="C43" i="8" s="1"/>
  <c r="G27" i="8"/>
  <c r="B27" i="8" s="1"/>
  <c r="B43" i="8" s="1"/>
  <c r="E26" i="8"/>
  <c r="C42" i="8" s="1"/>
  <c r="G26" i="8"/>
  <c r="B26" i="8" s="1"/>
  <c r="B42" i="8" s="1"/>
  <c r="E25" i="8"/>
  <c r="C41" i="8" s="1"/>
  <c r="G25" i="8"/>
  <c r="B25" i="8" s="1"/>
  <c r="B41" i="8" s="1"/>
  <c r="E24" i="8"/>
  <c r="C40" i="8" s="1"/>
  <c r="G24" i="8"/>
  <c r="B24" i="8" s="1"/>
  <c r="B40" i="8" s="1"/>
  <c r="E23" i="8"/>
  <c r="C39" i="8" s="1"/>
  <c r="G23" i="8"/>
  <c r="B23" i="8" s="1"/>
  <c r="B39" i="8" s="1"/>
  <c r="E21" i="8"/>
  <c r="C37" i="8" s="1"/>
  <c r="G21" i="8"/>
  <c r="B21" i="8" s="1"/>
  <c r="B37" i="8" s="1"/>
  <c r="E19" i="8"/>
  <c r="C35" i="8" s="1"/>
  <c r="G19" i="8"/>
  <c r="B19" i="8" s="1"/>
  <c r="B35" i="8" s="1"/>
  <c r="E18" i="8"/>
  <c r="C34" i="8" s="1"/>
  <c r="G18" i="8"/>
  <c r="B18" i="8" s="1"/>
  <c r="B34" i="8" s="1"/>
  <c r="E17" i="8"/>
  <c r="C33" i="8" s="1"/>
  <c r="G17" i="8"/>
  <c r="B17" i="8" s="1"/>
  <c r="B33" i="8" s="1"/>
  <c r="K3" i="4"/>
  <c r="I16" i="5" s="1"/>
  <c r="F16" i="5"/>
  <c r="E16" i="8"/>
  <c r="C32" i="8" s="1"/>
  <c r="G16" i="8"/>
  <c r="B16" i="8" s="1"/>
  <c r="B32" i="8" s="1"/>
  <c r="D16" i="5"/>
  <c r="M3" i="4"/>
  <c r="K16" i="5" s="1"/>
  <c r="G22" i="8"/>
  <c r="B22" i="8" s="1"/>
  <c r="B38" i="8" s="1"/>
  <c r="E22" i="8"/>
  <c r="C38" i="8" s="1"/>
  <c r="G20" i="8"/>
  <c r="B20" i="8" s="1"/>
  <c r="B36" i="8" s="1"/>
  <c r="E20" i="8"/>
  <c r="C36" i="8" s="1"/>
</calcChain>
</file>

<file path=xl/sharedStrings.xml><?xml version="1.0" encoding="utf-8"?>
<sst xmlns="http://schemas.openxmlformats.org/spreadsheetml/2006/main" count="1471" uniqueCount="747">
  <si>
    <t>PSAP Security Practices — Assessment Matrix</t>
  </si>
  <si>
    <t>This workbook is a companion to the PSAP Security Practices Posture Assessment report. It documents implementation status at the individual assessment item level and provides quantitative scoring to support baseline tracking, trend analysis, and comparison across future assessment cycles.</t>
  </si>
  <si>
    <t>Workbook Structure</t>
  </si>
  <si>
    <t>Question Set —</t>
  </si>
  <si>
    <t>Contains the 198 assessment items organized by domain and category, along with the assessment question text, PSAP-provided comments and supporting information, the assessed rating for each item, and discrepancy comments where the assessed rating differs from the PSAP's initial self-reported rating.</t>
  </si>
  <si>
    <t>Ratings use the following scale: 
     - Yes (3)
     - In Progress (2)
     - Planned (1)
     - No (0)
     - Unknown (0)
     - Not Applicable (excluded from scoring)</t>
  </si>
  <si>
    <t>Full Score Table —</t>
  </si>
  <si>
    <t>Displays rating distribution counts by category and domain, with weighted point totals and maximum possible scores. Items rated 'Not Applicable' are excluded from point calculations.</t>
  </si>
  <si>
    <t>Domain-Level Score Table —</t>
  </si>
  <si>
    <t>Summarizes rating distribution, point totals, and maximum possible scores at the domain level.</t>
  </si>
  <si>
    <t>Bar Chart —</t>
  </si>
  <si>
    <t xml:space="preserve">Visualizes domain-level implementation scores as a percentage of maximum possible points, with a target threshold for reference. </t>
  </si>
  <si>
    <t>Radar Chart —</t>
  </si>
  <si>
    <t>Visualizes domain-level implementation percentages in a radar (spider) format to illustrate relative strength and coverage across all 13 assessment domains.</t>
  </si>
  <si>
    <t>Assessment Framework</t>
  </si>
  <si>
    <t>This assessment is anchored in two complementary references: the NENA Security for Next Generation 9-1-1 Standard (NG-SEC) [NENA-STA-040.2-2024], which defines security outcomes and requirements for NG9-1-1 environments, and NIST Special Publication 800-53 Revision 5, which provides a detailed catalog of security and privacy controls. The 198 assessment items in this workbook are organized across 13 security domains and 51 categories derived from these frameworks.</t>
  </si>
  <si>
    <t>Scoring</t>
  </si>
  <si>
    <t>Each assessment item is rated on a 0-3 implementation scale. Point totals are calculated by weighting each rating ('Unknown' = 0, 'No' = 0,
'Planned' = 1, 'In Progress' = 2, 'Yes' = 3) and summing across applicable items. Items rated 'Not Applicable' are excluded from both the point 
total and the maximum possible score, so that percentages reflect only items within the scope for the assessed environment. The maximum possible score for any category or domain represents full implementation (a rating of 'Yes') for all applicable items.</t>
  </si>
  <si>
    <t>Target Implementation Threshold</t>
  </si>
  <si>
    <t>The target implementation threshold defines the minimum acceptable implementation percentage used as a reference point ('Goal') in the Bar Chart and Radar Chart visualizations. This threshold can be configured below and applies uniformly across all domains.</t>
  </si>
  <si>
    <t>— Target Threshold Value —</t>
  </si>
  <si>
    <t>PSAP</t>
  </si>
  <si>
    <t>Sample County 911 Communications</t>
  </si>
  <si>
    <t>Address</t>
  </si>
  <si>
    <t>100 Public Safety Drive</t>
  </si>
  <si>
    <t>City/ZIP</t>
  </si>
  <si>
    <t>Anytown | 00000</t>
  </si>
  <si>
    <t>PSAP Director</t>
  </si>
  <si>
    <t>Jane Smith</t>
  </si>
  <si>
    <t>Director Phone #</t>
  </si>
  <si>
    <t>555-000-0000</t>
  </si>
  <si>
    <t>Director Email</t>
  </si>
  <si>
    <t>jsmith@samplecounty.gov</t>
  </si>
  <si>
    <t>Registration Date</t>
  </si>
  <si>
    <t>Final Domain Survey Complete</t>
  </si>
  <si>
    <t>Site Visit Date</t>
  </si>
  <si>
    <t>Target Maturity Score</t>
  </si>
  <si>
    <t>Domain Survey Information:</t>
  </si>
  <si>
    <t>Stakeholders providing input:</t>
  </si>
  <si>
    <t>Date Completed:</t>
  </si>
  <si>
    <t>Domain 1</t>
  </si>
  <si>
    <t>IT Director
Director of 911 Operations</t>
  </si>
  <si>
    <t>Domain 2</t>
  </si>
  <si>
    <t>Domain 3</t>
  </si>
  <si>
    <t>Domain 4</t>
  </si>
  <si>
    <t>Domain 5</t>
  </si>
  <si>
    <t>Domain 6</t>
  </si>
  <si>
    <t>Domain 7</t>
  </si>
  <si>
    <t>Domain 8</t>
  </si>
  <si>
    <t>Domain 9</t>
  </si>
  <si>
    <t>Domain 10</t>
  </si>
  <si>
    <t>Domain 11</t>
  </si>
  <si>
    <t>Domain 12</t>
  </si>
  <si>
    <t>Domain 13</t>
  </si>
  <si>
    <t>ID</t>
  </si>
  <si>
    <t xml:space="preserve"> </t>
  </si>
  <si>
    <t>Question Text,
Follow Up Question
&amp;
Implementation Example</t>
  </si>
  <si>
    <t>Comments &amp; 
Additional 
Information</t>
  </si>
  <si>
    <t>Assessed
Rating</t>
  </si>
  <si>
    <t>1. Governance, Risk &amp; Strategy</t>
  </si>
  <si>
    <t>A. Executive Leadership &amp; Resource Allocation</t>
  </si>
  <si>
    <t>1A-1</t>
  </si>
  <si>
    <t>1.</t>
  </si>
  <si>
    <t>Do executive leaders – such as the CEO, City Manager, or Board members – formally review and approve cybersecurity and privacy policies and strategic security plans to ensure legal compliance and alignment with public safety goals?
If yes, please list the executives involved and how often these documents are reviewed or updated.
          (Example: “Our City Manager and Legal Counsel review the policy annually 
           in Q1.”)</t>
  </si>
  <si>
    <t>Scheduled for a future implementation cycle.</t>
  </si>
  <si>
    <t>PLANNED</t>
  </si>
  <si>
    <t>1A-2</t>
  </si>
  <si>
    <t>2.</t>
  </si>
  <si>
    <t>Does senior management designate a cybersecurity and privacy lead for your Emergency Communications Center (ECC) or Public Safety Answering Point (PSAP) and allocate appropriate staff resources, tools, and budget to safeguard these mission-critical services?
If yes, please name the role or individual and briefly describe the staffing, technology, or budget they’ve been allocated.
          (Example: “Our Chief Technology Officer is the official ECC/PSAP Security Lead, 
           supported by a three-person team and a dedicated $50K annual budget.”)</t>
  </si>
  <si>
    <t>Implemented and documented.</t>
  </si>
  <si>
    <t>YES</t>
  </si>
  <si>
    <t>1A-3</t>
  </si>
  <si>
    <t>3.</t>
  </si>
  <si>
    <t>Do senior leaders regularly monitor emerging threats – such as ransomware or service outages – that could disrupt 9-1-1 or emergency response operations?
If yes, please describe how they stay informed and how often they review threat reports.
          (Example: “They receive a weekly threat summary from our SOC (Security 
           Operations Center) and meet monthly to discuss high-risk alerts.”)</t>
  </si>
  <si>
    <t>Controls are in place and verified.</t>
  </si>
  <si>
    <t>B. Policy &amp; Asset Inventory Management</t>
  </si>
  <si>
    <t>1B-1</t>
  </si>
  <si>
    <t>Do your emergency communications cybersecurity and privacy policies:
     * Explicitly reference all applicable laws and regulations
        (e.g., CJIS, state privacy laws)
     * Include security controls aligned with the risks identified for your mission-
        critical systems
If yes, please explain which laws you follow and name one or two key controls you’ve implemented.
          (Example: “We comply with CJIS requirements. We enforce multifactor
          authentication and daily log reviews for all dispatch consoles.”)</t>
  </si>
  <si>
    <t>Process is established and followed.</t>
  </si>
  <si>
    <t>1B-2</t>
  </si>
  <si>
    <t>Has senior leadership formally approved – and do they oversee – a policy that outlines how you:
     * Maintain an up-to-date inventory of every 9-1-1 and related system (e.g., call-
        handling platforms, mapping tools, logging servers)
     * Regularly review that inventory to support informed decisions and protect
        sensitive data
If yes, please briefly describe where this policy is documented and how reviews are scheduled.
          (Example: “Our City IT Director signs off on the policy each January. The
          Operations team updates the inventory quarterly.”)</t>
  </si>
  <si>
    <t>Not yet implemented.</t>
  </si>
  <si>
    <t>NO</t>
  </si>
  <si>
    <t>1B-3</t>
  </si>
  <si>
    <t>Do you have formal, written plans for systems like CAD (Computer-Aided Dispatch), CPE/CHE (Call Processing/Call Handling Equipment), GIS (Mapping), and others that:
     * Assign clear roles and responsibilities for each system
     * Explain how systems are categorized by importance and data sensitivity
     * Describe how devices connect and exchange information
     * Are updated following regular risk reviews
If yes, please list the systems covered and where the most current version of each plan is stored.
          (Example: “Our CAD and GIS plans are stored in SharePoint. We update them
          after our annual risk assessment each October.”)</t>
  </si>
  <si>
    <t>Identified as a gap; not yet addressed.</t>
  </si>
  <si>
    <t>C. Role Definition &amp; Governance Oversight</t>
  </si>
  <si>
    <t>1C-1</t>
  </si>
  <si>
    <t>Has your organization empowered a senior executive and a formal governance group (e.g., a steering committee or board) to:
     * Set cybersecurity and privacy priorities
     * Review performance metrics and reports
     * Ensure alignment with public safety goals and legal and regulatory requirements
If yes, please name the executive role and the governance body, and describe how often they meet.
          (Example: “The Assistant City Manager chairs our Cyber Risk Committee, which 
           meets quarterly.”)</t>
  </si>
  <si>
    <t>Practice is mature and consistent.</t>
  </si>
  <si>
    <t>1C-2</t>
  </si>
  <si>
    <t>Do the people who “own” your data (e.g., operations managers) and those who “manage” it (e.g., IT staff) participate in a formal data governance process that:
     * Defines how you classify data by sensitivity (public, internal, confidential)
     * Sets rules for sharing data internally or with partners
     * Regularly reviews and updates those policies
If yes, please list the roles involved and how frequently your data governance group meets or reviews policies.
          (Example: “Our Data Governance Board includes the CAD Manager and the CIO.
           They review classification rules annually.”)</t>
  </si>
  <si>
    <t>Process does not currently exist.</t>
  </si>
  <si>
    <t>1C-3</t>
  </si>
  <si>
    <t>Does your organization employ enough trained personnel, either internally or with contractors, with clear job descriptions, to:
     * Set up systems securely
     * Monitor security in real time
     * Respond to incidents
     * Perform audit reviews
If yes, please describe your security team structure (titles or roles) and approximate staffing levels.
          (Example: “We have a two-person SOC (Security Operations Center) team, 
           plus one external consultant on retainer.”)</t>
  </si>
  <si>
    <t>Fully implemented per current policy.</t>
  </si>
  <si>
    <t>1C-4</t>
  </si>
  <si>
    <t>4.</t>
  </si>
  <si>
    <t>Do you have documented roles and processes, including acceptable use rules and background checks where required, for granting, changing, and removing access to:
     * Critical systems (e.g., dispatch consoles, admin portals)
     * Secure facilities (e.g., data centers, control rooms)
If yes, please outline who approves access and what screening or rules apply.
          (Example: “Managers approve console access; all new hires undergo a 
           criminal background check.”)</t>
  </si>
  <si>
    <t>In place; reviewed periodically.</t>
  </si>
  <si>
    <t>1C-5</t>
  </si>
  <si>
    <t>5.</t>
  </si>
  <si>
    <t>Do you have written procedures that cover:
     * Secure system configuration
     * System log monitoring
     * Incident detection and reporting
     * Risk assessments
     * Remediation tracking across all 9-1-1 platforms (e.g., call handling, mapping,
         back-end servers)
If yes, please indicate where these documents are stored (e.g., SharePoint folder) and how they’re kept up to date.
          (Example: “All procedures are in our Policy Manual, updated after each 
           quarterly risk review.”)</t>
  </si>
  <si>
    <t>Working to formalize this process.</t>
  </si>
  <si>
    <t>IN PROGRESS</t>
  </si>
  <si>
    <t>D. Risk Assessment &amp; Management Strategy</t>
  </si>
  <si>
    <t>1D-1</t>
  </si>
  <si>
    <t>Do you maintain a written risk management strategy that:
     * Reflects your organization’s risk appetite (how much risk you’re willing 
         to accept)
     * Addresses multiple threat vectors (e.g., phishing, malware, supplier issues,
         and denial-of-service attacks)
     * Is reviewed and updated on a regular schedule
If yes, please note where the strategy is documented and when the last review occurred.
          (Example: “Our Risk Strategy lives in the Policy Manual; last reviewed 
           January 2025.”)</t>
  </si>
  <si>
    <t>Documentation is in development.</t>
  </si>
  <si>
    <t>1D-2</t>
  </si>
  <si>
    <t>Have you categorized all systems and data sets by their sensitivity and operational criticality – specifically considering Confidentiality, Integrity, and Availability – and used this framework to define risk levels and select appropriate security controls?
If yes, please share your categorization scheme (for example, “High, Medium, Low”) and one or two controls you apply at each level.
          (Example: “‘High Impact’ systems require daily backups and 
           multifactor authentication.”)</t>
  </si>
  <si>
    <t>No formal controls in place.</t>
  </si>
  <si>
    <t>1D-3</t>
  </si>
  <si>
    <t>Does your organization have written policies and procedures that spell out:
     * Scope – which public safety systems (e.g., CAD, call routing, GIS, etc.) 
         must be assessed
     * Frequency – how often you run those assessments
     * Roles – who leads and who supports each assessment
     * Methods – what tools or techniques are used (e.g., interviews, automated 
         scans, tabletop exercises)
If yes, please indicate where these documents are stored and when they were last updated.
          (Example: “Our Risk Assessment SOP is in SharePoint; it was updated in 
           September 2024.”)</t>
  </si>
  <si>
    <t>Not currently in scope; noted as a gap.</t>
  </si>
  <si>
    <t>1D-4</t>
  </si>
  <si>
    <t>Do you conduct formal risk assessments that:
     * Identify likely ways an attacker or failure could impact you (e.g., technical flaws, 
         vendor issues, user errors)
     * Evaluate each risk based on its potential impact on service (slowed or lost 
         dispatch), data (confidentiality breach), or life safety (9-1-1 delays)
If yes, please describe which threat categories you cover and how you score their impacts.
          (Example: “We rate each scenario on a 1–5 scale for service outage 
           and data loss.”)</t>
  </si>
  <si>
    <t>This has not been established.</t>
  </si>
  <si>
    <t>1D-5</t>
  </si>
  <si>
    <t>Do you use the outcomes of your risk assessments to:
     * Prioritize which systems to monitor more closely
     * Decide what mitigation steps to take first
     * Regularly review the assessment process and the overall risk strategy to keep 
         pace with new threats and changes in emergency communications 
         requirements
If yes, please explain how often you revisit your assessment process and strategy, and give one example of a recent change you made based on those results.
          (Example: “We reprioritized our network monitoring tools after a mid-year 
           review in July 2024.”)</t>
  </si>
  <si>
    <t>Recognized need; no action taken yet.</t>
  </si>
  <si>
    <t>2. Identity, Authentication &amp; Access Management</t>
  </si>
  <si>
    <t>A. Access Control Governance &amp; Management</t>
  </si>
  <si>
    <t>2A-1</t>
  </si>
  <si>
    <t>Does your organization have a formal governance group and approved policies that define who can create, change, or deactivate each type of account – user, administrative, service, and cloud – across all public safety systems?
If yes, please name the governance body and explain where these policies are documented.
          (Example: “Our Identity Steering Committee owns the policy in our Security 
           Manual, updated annually.")</t>
  </si>
  <si>
    <t>Partially implemented; improvements underway.</t>
  </si>
  <si>
    <t>2A-2</t>
  </si>
  <si>
    <t>Are job roles, functions, and data classification levels officially documented, and do you regularly review granted permissions to make sure everyone has only the minimum access required (principle of least privilege)?
If yes, please describe your review schedule and who conducts it.
          (Example: “We run quarterly access reports; managers verify roles in our 
           IAM tool.”)</t>
  </si>
  <si>
    <t>Operational and tested.</t>
  </si>
  <si>
    <t>2A-3</t>
  </si>
  <si>
    <t>Do your written policies require:
     * Strong authentication methods (e.g., complex passwords, hardware tokens, 
         digital certificates, or biometrics)
     * A clear, auditable process for issuing, storing, and revoking credentials
If yes, please list which authentication methods you use and how you track the full credential lifecycle.
          (Example: “We enforce 12-character passwords, issue YubiKeys for admin 
           accounts, and record revocations in our ticketing system.”)</t>
  </si>
  <si>
    <t>Active effort in progress.</t>
  </si>
  <si>
    <t>2A-4</t>
  </si>
  <si>
    <t>Do you perform account reviews and disable inactive or unnecessary accounts on a set schedule (e.g., every 30, 60, or 90 days), with clear assignment of responsibility for this task?
If yes, please specify your schedule and the roles responsible for reviewing and deactivating accounts.
          (Example: “Every 60 days, IT Support runs an inactivity report, and the Security 
           Manager approves deactivations.”)</t>
  </si>
  <si>
    <t>Being addressed through current initiatives.</t>
  </si>
  <si>
    <t>2A-5</t>
  </si>
  <si>
    <t>Do your policies control remote or vendor/partner access by specifying:
     * Who is allowed to connect
     * Under what conditions (e.g., approved devices, time windows)
     * What monitoring or encryption is required
If yes, please briefly outline these conditions and controls.
          (Example: “Remote logins require VPN with MFA; third-party sessions are 
           logged and reviewed weekly.”)</t>
  </si>
  <si>
    <t>Absence acknowledged; not yet prioritized.</t>
  </si>
  <si>
    <t>2A-6</t>
  </si>
  <si>
    <t>6.</t>
  </si>
  <si>
    <t>Do you have dedicated policies for service-based and cloud-based accounts that define:
     * Who “owns” each account
     * Its purpose and lifespan
     * What specific, limited privileges it needs
     * The method and frequency for reviewing these accounts
If yes, please point to those policies and describe your review process.
          (Example: “Our Cloud Access Policy in Confluence; we audit service 
           accounts monthly.”)</t>
  </si>
  <si>
    <t>Control is missing; flagged for remediation.</t>
  </si>
  <si>
    <t>B. Account &amp; Credential Lifecycle Management</t>
  </si>
  <si>
    <t>2B-1</t>
  </si>
  <si>
    <t>Do you have formal, written procedures – aligned with HR and operational teams – for how every account (user, remote, guest, temporary) is requested, approved, created, changed, and disabled?
If yes, please say where these procedures are stored and how you keep them up to date.
          (Example: “Procedures are in our HR policy manual and IT operations guide; 
           they’re reviewed annually by HR and IT leads.”)</t>
  </si>
  <si>
    <t>Implementation underway; on track.</t>
  </si>
  <si>
    <t>2B-2</t>
  </si>
  <si>
    <t>Do you regularly review and adjust account permissions – especially upon change in an individual’s job role or their departure – to ensure each account has only the necessary access?
If yes, please describe your review process and who is responsible.
          (Example: “Managers submit role change notices monthly; IT removes 
           unneeded rights within 24 hours of notice.”)</t>
  </si>
  <si>
    <t>Configured and enforced.</t>
  </si>
  <si>
    <t>2B-3</t>
  </si>
  <si>
    <t>Do your policies require:
     * Strong password rules (complexity, length)
     * Use of tokens or certificates where appropriate
     * Automated enforcement of these rules
     * Prompt rotation or revocation of credentials when compromised or 
         upon personnel change
If yes, please list the methods in place and how you track them.
          (Example: “Passwords must be 12+ characters and rotate every 90 days; admin 
           accounts use YubiKeys; all revocations are logged in our ticketing system.”)</t>
  </si>
  <si>
    <t>Partially configured; finishing remaining steps.</t>
  </si>
  <si>
    <t>2B-4</t>
  </si>
  <si>
    <t>Do you have a process for managing service and application accounts that includes:
     * Managing an up-to-date inventory?
     * Assigning each a unique identifier and granting only minimal required rights?
     * Monitoring or rotating their credentials on a regular schedule?
If yes, please explain how you track these accounts and describe your credential rotation or monitoring schedule.
          (Example: “We list service accounts in our IAM tool and rotate their 
           passwords every 60 days.”)</t>
  </si>
  <si>
    <t>Not applicable to current practice.</t>
  </si>
  <si>
    <t>2B-5</t>
  </si>
  <si>
    <t>Do you use automated tools or scripts to detect accounts that haven’t been used for a defined period and automatically disable them on a set schedule?
If yes, please describe the automation and schedule.
          (Example: “Accounts idle for 45 days are automatically disabled by our 
           identity platform.”)</t>
  </si>
  <si>
    <t>C. Authentication &amp; Credential Governance</t>
  </si>
  <si>
    <t>2C-1</t>
  </si>
  <si>
    <t>Before granting any access, do you:
     * Verify each person’s identity using a documented process
     * Issue unique credentials for every user
     * Manage and document any cross-system trusts (certificates, SAML 
         federation, etc.)
If yes, please describe your identity verification steps and how you track trusted system relationships.
          (Example: “We check government ID and HR records before account creation; 
           all certificate-based trusts are logged in our CMDB.”)</t>
  </si>
  <si>
    <t>Active and monitored.</t>
  </si>
  <si>
    <t>2C-2</t>
  </si>
  <si>
    <t>Do your login screens and rules ensure that:
     * Error messages are vague enough to avoid revealing valid usernames
     * Accounts lock out or throttle after a set number of failed attempts
     * Failed logins and other anomalies are logged and monitored
     * Default vendor-supplied credentials are disabled before any system goes live
If yes, please describe your lockout thresholds, logging practices, and how you disable defaults.
          (Example: “After 5 failed attempts, accounts lock for 15 minutes; all failures 
           flow into SIEM alerts; we run a deployment script that removes default 
           admin/password pairs.”)</t>
  </si>
  <si>
    <t>Completed and maintained.</t>
  </si>
  <si>
    <t>2C-3</t>
  </si>
  <si>
    <t>Are there documented rules that specify:
     * Password complexity and minimum length
     * How often passwords must be changed
     * Secure storage protections (for example, hashing, vaulting)
     * Bans on weak, reused, or shared passwords
If yes, please summarize your complexity and rotation requirements as well as technical enforcement controls.
          (Example: “Passwords must be ≥12 characters with letters, numbers, and 
           symbols; rotated every 90 days; all hashes stored in our hardened vault.”)</t>
  </si>
  <si>
    <t>2C-4</t>
  </si>
  <si>
    <t>Do your policies cover the use of password managers – requiring:
     * A strong master authentication factor (such as MFA)
     * Encryption of stored credentials
     * Use only on trusted, secured endpoints
     * Alignment with industry authentication standards
If yes, please point to the policy section and note any approved tools or enforcement controls.
          (Example: “Our Access Policy mandates MFA on the vault and only allows 
           approved browser extensions on corporate devices.”)</t>
  </si>
  <si>
    <t>2C-5</t>
  </si>
  <si>
    <t>Do you enforce multifactor authentication (MFA) for every user and access type – including remote, on-premises, and cloud environments – for both privileged and non-privileged accounts?
If yes, please list which MFA methods you use and how you ensure they’re consistently enforced.
          (Example: “We require authenticator apps for all users; VPN and console 
           logins both demand a one-time code.”)</t>
  </si>
  <si>
    <t>D. Authorization &amp; Least Privilege Enforcement</t>
  </si>
  <si>
    <t>2D-1</t>
  </si>
  <si>
    <t>Do you enforce the principle of least privilege for every account type – routine, temporary, privileged, and remote – so each has only the access required for its role, and review these permissions on a regular schedule?
If yes, please describe how you enforce and review least privilege access controls.
          (Example: “Our IAM platform enforces least privilege automatically; managers 
           get a quarterly report to approve or revoke rights.”)</t>
  </si>
  <si>
    <t>Work in progress toward full compliance.</t>
  </si>
  <si>
    <t>2D-2</t>
  </si>
  <si>
    <t>Do you assign separate roles for key functions – such as system administration versus audit – to ensure no one person can both change and review the same settings or data?
If yes, please describe which functions are separated and how you enforce this segregation of duties.
          (Example: “Sysadmin roles cannot access audit logs; auditors have read-
           only rights and are in a different user group.”)</t>
  </si>
  <si>
    <t>2D-3</t>
  </si>
  <si>
    <t>Are privileged accounts restricted to specific parts of your network or call/dispatch systems, continuously monitored for unauthorized data flows, and protected with stronger authentication controls?
If yes, please outline your segmentation strategy and security monitoring configuration.
          (Example: “Admin consoles live on a separate VLAN; SIEM watches all 
           privileged logins and flags cross-segment traffic.”)</t>
  </si>
  <si>
    <t>Currently being developed.</t>
  </si>
  <si>
    <t>2D-4</t>
  </si>
  <si>
    <t>Do your systems check every access request against established roles and risk rules – so that sensitive information (caller details, medical data, law enforcement records) is only visible to authorized users – and log any anomalies?
If yes, please explain how you define roles/risk levels and where logs of denied or anomalous access attempts are stored.
          (Example: “Our access gateway enforces role-based policies; all denials are 
           sent to our audit log, reviewed weekly.”)</t>
  </si>
  <si>
    <t>E. Privileged Access Governance &amp; Monitoring</t>
  </si>
  <si>
    <t>2E-1</t>
  </si>
  <si>
    <t>Are all privileged users:
     * Uniquely identified and authenticated before gaining access
     * Required to acknowledge and follow enhanced behavior rules
     * Given specialized training and subject to accountability measures for misuse
If yes, please summarize your identity checks, training program, and accountability process.
          (Example: “Privileged users complete an annual security training, sign our 
           Administrator Code of Conduct, and any violations trigger our incident 
           response protocol.”)</t>
  </si>
  <si>
    <t>2E-2</t>
  </si>
  <si>
    <t>Do your policies specify how administrator accounts are:
     * Requested and formally approved
     * Tracked separately from standard user accounts
     * Decommissioned or removed when no longer needed
If yes, please describe where these procedures are documented and how you track administrator accounts.
          (Example: “All admin requests go through our IT Change Board; we maintain a 
           separate ‘Admin Accounts’ registry in our IAM tool and decommission via 
           ticket when roles change.")</t>
  </si>
  <si>
    <t>Improvement efforts are ongoing.</t>
  </si>
  <si>
    <t>2E-3</t>
  </si>
  <si>
    <t>Are sensitive interfaces – such as Session Border Controller (SBC) admin consoles and remote login portals – configured with:
     * Account lockout or throttling after failed attempts
     * Mandatory multifactor authentication
If yes, please outline your lockout settings and MFA methods.
          (Example: “After 5 failed logins, the SBC locks for 30 minutes; remote VPN and 
           console access require a hardware token plus PIN.”)</t>
  </si>
  <si>
    <t>Current status could not be confirmed.</t>
  </si>
  <si>
    <t>UNKNOWN</t>
  </si>
  <si>
    <t>2E-4</t>
  </si>
  <si>
    <t>Do you regularly review and revoke unused or unnecessary elevated rights to prevent privilege creep and excessive access?
If yes, please explain your review frequency and revocation process.
          (Example: “Quarterly, we run a report of all sudo-enabled accounts and 
           remove rights for anyone who hasn’t used them in 60 days.”)</t>
  </si>
  <si>
    <t>2E-5</t>
  </si>
  <si>
    <t>Do you record and monitor all privileged user sessions, and review those logs for misuse, unauthorized escalation, or anomalous activity?
If yes, please describe your logging system and review cadence.
          (Example: “All CLI sessions are captured in our centralized logging server; 
           Security reviews high-risk session logs weekly.”)</t>
  </si>
  <si>
    <t>F. Session Management &amp; Monitoring</t>
  </si>
  <si>
    <t>2F-1</t>
  </si>
  <si>
    <t>Before starting any session – including remote connections – do you verify and authenticate each user so every session can be traced back to a single individual?
If yes, please explain how you ensure individual user identification (for example, shared accounts vs. individual accounts).
          (Example: “We prohibit shared credentials; every user logs in with their 
           personal SSO credentials and MFA.”)</t>
  </si>
  <si>
    <t>2F-2</t>
  </si>
  <si>
    <t>Do you configure systems to automatically lock or terminate user sessions after a defined period of inactivity – based on your operational requirements – to prevent access at unattended workstations or devices?
If yes, please state your configured inactivity timeouts and describe how they are technically enforced.
          (Example: “Workstations lock after 10 minutes idle; remote desktops 
           disconnect after 15 minutes.")</t>
  </si>
  <si>
    <t>2F-3</t>
  </si>
  <si>
    <t>Do you require users to reauthenticate – or explicitly resume – a session before continuing certain activities or after a set duration, with stronger rules for higher-risk operations?
If yes, please describe which actions or time thresholds trigger session reauthentication.
          (Example: “Access to financial records prompts reauthentication every 
           30 minutes; other actions require it only after 4 hours.”)</t>
  </si>
  <si>
    <t>2F-4</t>
  </si>
  <si>
    <t>Do your policies and systems prevent unauthorized access by:
     * Locking devices when idle or upon network disconnect
     * Restricting remote sessions from operating on unverified or shared endpoints
     * Terminating sessions upon connection loss or periodic checks fail
If yes, please outline the controls for both physical workstations and remote 
devices.
          (Example: “Workstation screensaver locks on idle; remote sessions 
           enforce device attestation and disconnect on VPN drop.”)</t>
  </si>
  <si>
    <t>2F-5</t>
  </si>
  <si>
    <t>Do you record and review all session events – successful logins, failed attempts, and privilege changes – and generate alerts for unusual behavior (such as logins at odd hours or unexpected data transfers)?
If yes, please describe your logging and alerting setup.
          (Example: “All events feed into our SIEM; we have alerts for logins outside 
           8 AM–6 PM and data exports over 1 GB.”)</t>
  </si>
  <si>
    <t>3. Data Security &amp; Lifecycle Management</t>
  </si>
  <si>
    <t>A. Data Classification &amp; Labelig</t>
  </si>
  <si>
    <t>3A-1</t>
  </si>
  <si>
    <t>Has your designated data governance group formally:
     * Defined data classification levels (for example, Public, Internal, Confidential)
     * Set default labels on new or incoming data
     * Integrated those labels into system design and workflows
     * Reviewed and updated labels when data is transferred across departments 
        or to external partners
If yes, please describe how the governance body assigns and updates labels.
          (Example: “Our Data Governance Board applies ‘Confidential’ by default to all 
           vendor-supplied files; whenever data is shared outside the department, 
           they review and adjust labels quarterly.”)</t>
  </si>
  <si>
    <t>3A-2</t>
  </si>
  <si>
    <t>Do your user accounts and system policies automatically enforce controls based on data labels – such as blocking access or preventing actions that exceed a user’s clearance level?
If yes, please explain which systems enforce these controls and how access mismatches are detected and handled.
          (Example: “Our document portal checks user roles against file labels and 
           denies downloads if clearance is too low, logging every denied attempt.”)</t>
  </si>
  <si>
    <t>3A-3</t>
  </si>
  <si>
    <t>Do you have procedures to ensure that any external data you receive is:
     * Classified upon receipt
     * Stored and used in line with its label’s handling requirements
     * Retained or disposed of according to defined retention schedules
If yes, please outline how incoming data is classified, stored, and tracked.
          (Example: “All third-party incident reports are tagged ‘Internal’ on upload; 
           we archive them for two years and then purge automatically via our records 
           system.”)</t>
  </si>
  <si>
    <t>B. Data Protection &amp; Lifecycle Management</t>
  </si>
  <si>
    <t>3B-1</t>
  </si>
  <si>
    <t>Do you maintain a formal inventory that maps each data classification (for example, Public, Internal, Confidential) to its required handling, retention period, protection measures, and how updates affect systems throughout the data’s lifecycle?
If yes, please explain where this inventory is stored and how it’s maintained and 
kept current.
          (Example: “Our data inventory lives in the CMDB; it links each data type to its 
           retention schedule, classification controls, and update-impact rules, and is 
           reviewed annually.”)</t>
  </si>
  <si>
    <t>3B-2</t>
  </si>
  <si>
    <t>Do you encrypt all sensitive data at rest – including on-premises and cloud storage, logs, recordings, and backups – using securely generated, stored, rotated, and access-controlled keys, and ensure your service providers meet these standards?
If yes, please list your encryption tools, key-management processes, and any provider compliance (e.g., FedRAMP, SOC 2).
          (Example: “We use AES-256 via HSM-backed key vaults; keys rotate quarterly; 
           our cloud storage is FedRAMP Moderate certified.”)</t>
  </si>
  <si>
    <t>On the roadmap for upcoming period.</t>
  </si>
  <si>
    <t>3B-3</t>
  </si>
  <si>
    <t>Do your procedures require secure transfer protocols, physical controls, and media sanitization or destruction based on data classification – automatically blocking or logging unauthorized actions?
If yes, please describe how these controls are implemented and enforced.
          (Example: “All Confidential files transfer over SFTP; labeled printers enforce 
           print restrictions; disposal scripts zero-fill disks and purge print trays 
           automatically.”)</t>
  </si>
  <si>
    <t>Planned but not yet started.</t>
  </si>
  <si>
    <t>3B-4</t>
  </si>
  <si>
    <t>Are backup tapes, external drives, printed reports, and other physical media stored, transported, and accessed only by authorized personnel based on its classification – tracked, encrypted where required, and secured in designated areas?
If yes, please describe your storage, tracking, and encryption processes.
          (Example: “All external drives are AES-256 encrypted and logged in our media 
           register; backup tapes are locked in an approved safe and access is 
           badge-controlled.”)</t>
  </si>
  <si>
    <t>3B-5</t>
  </si>
  <si>
    <t>Do you classify your logs and monitoring outputs, store them according to operational and regulatory retention requirements, and securely dispose of or destroy them when no longer needed?
If yes, please outline your log classification scheme, retention periods, and disposal methods.
          (Example: “Audit logs tagged Internal are kept 90 days online, then archived for 
           one year; expired archives are shredded or cryptographically wiped.”)</t>
  </si>
  <si>
    <t>3B-6</t>
  </si>
  <si>
    <t>Do you mark hardware and software components in your inventory for end-of-life, then sanitize or destroy them in accordance with your data protection and classification policies?
If yes, please explain your decommissioning process and how it aligns with classification rules.
          (Example: “Decommissioned servers are tagged ‘Decom’; drives undergo DoD 
           5220.22-M wipe, and certificates of destruction are filed.”)</t>
  </si>
  <si>
    <t>C. Data Access Monitoring &amp; Disclosure Management</t>
  </si>
  <si>
    <t>3C-1</t>
  </si>
  <si>
    <t>Do you have documented controls and workflows that define:
     * Who can approve sharing sensitive data
     * Which risk factors to consider (for example, recipient, data classification, 
        legal requirements)
     * How to securely transmit or share the data once approved
If yes, please outline your approval process and secure sharing methods.
          (Example: “Disclosures require a manager’s sign‐off in our Records System; 
           approved files go via encrypted email or secure portal.”)</t>
  </si>
  <si>
    <t>3C-2</t>
  </si>
  <si>
    <t>Are there formal procedures to detect, contain, and remediate any unauthorized data spill – so you can quickly respond, investigate, and restore secure operations?
If yes, please summarize your incident response steps and team roles.
          (Example: “Our Data Response Plan triggers alerts on large exports; the 
           InfoSec team isolates affected systems and runs a root‐cause analysis 
           within 24 hours.”)</t>
  </si>
  <si>
    <t>3C-3</t>
  </si>
  <si>
    <t>Do you log every access to or attempted disclosure of sensitive data – capturing details like who accessed it, when, from where, and what was done – and keep those logs long enough to support audits and investigations?
If yes, please describe your logging system, retention period, and the key fields captured in each log.
          (Example: “All data‐access events feed into our SIEM with user ID, 
           timestamp, source IP, and action type; logs are retained for two years.”)</t>
  </si>
  <si>
    <t>4. Network &amp; Communications Governance</t>
  </si>
  <si>
    <t>A. Network Infrastructure &amp; Boundary Controls</t>
  </si>
  <si>
    <t>4A-1</t>
  </si>
  <si>
    <t>Have you designed and formally documented network segmentation using:
     * Enforced access controls (ACLs, firewalls)
     * Logical or physical partitions (VLANs, separate switches)
     * Restrictions on peer-to-peer communications
If yes, please outline your segmentation model and where and how documentation is maintained.
          (Example: “Our network diagram shows VLANs for voice, dispatch, and 
           admin; ACLs block inter-VLAN traffic except via a central firewall.”)</t>
  </si>
  <si>
    <t>4A-2</t>
  </si>
  <si>
    <t>Do you configure all perimeter devices – like Session Border Controllers, cross-network gateways, and other edge appliances – with:
     * A default-deny policy for signaling and media flows
     * Least-privilege rules that only allow explicitly approved endpoints 
         and port usage
     * Continuous logging and alerting for any unauthorized or suspicious 
         connection attempts
If yes, please describe your default-deny flow rules, how you enforce least-privilege access, and which monitoring tools you use to detect anomalies.
           (Example: “Our SBCs only permit SIP traffic on ports 5060–5061 from 
           known IP ranges; all other attempts are dropped and forwarded to our 
           SIEM for real-time alerting.")</t>
  </si>
  <si>
    <t>4A-3</t>
  </si>
  <si>
    <t>Do you maintain demilitarized zones (DMZs) and isolated network segments using:
     * Deny-by-default firewall rules
     * Controlled ingress and egress filtering
     * Layered defenses (IDS/IPS, web proxies)
     * Strict separation of public-facing services from core systems
If yes, please explain your DMZ design and enforcement strategies.
          (Example: “All web servers live in a DMZ with no direct access to the 
           internal network; traffic passes through a reverse proxy and is inspected 
           by an IPS.”)</t>
  </si>
  <si>
    <t>4A-4</t>
  </si>
  <si>
    <t>Do you secure and monitor devices that connect to more than one network (for example, cross-network gateways) so that:
     * Configuration settings prevent data leakage and unauthorized changes
     * All access and changes are logged
     * Alerts are generated for suspicious activity
If yes, please describe your hardening standards, logging practices, and monitoring tools.
          (Example: “We apply CIS Benchmarks on all multi-homed routers, 
           forward their syslogs to our SIEM, and use automated scans to 
           detect config drift.”)</t>
  </si>
  <si>
    <t>4A-5</t>
  </si>
  <si>
    <t>Do you further segment and monitor internal connections – between applications, databases, and system components – to ensure only approved traffic flows and to limit breach impact?
If yes, please describe your micro-segmentation and internal traffic control strategy.
          (Example: “Our micro-segmentation policy uses host-based firewalls 
           to allow only service-specific ports; any deviation triggers an alert.”)</t>
  </si>
  <si>
    <t>B. Network Traffic &amp; Threat Controls</t>
  </si>
  <si>
    <t>4B-1</t>
  </si>
  <si>
    <t>Does your overall network design layer multiple defenses – segmentation, endpoint protection, encryption in transit, input validation/scanning at all entry points – to block and contain threats?
If yes, please summarize your defense-in-depth architecture and supporting technologies.
          (Example: “We combine micro-segmentation, host-based firewalls, 
           TLS encryption for all services, and an IDS at each network boundary.”)</t>
  </si>
  <si>
    <t>4B-2</t>
  </si>
  <si>
    <t>Do you configure firewalls, proxies, segmentation boundaries, and routing rules to block all traffic by default – only allowing trusted devices and systems – and monitor for any policy violations?
If yes, please describe your default-deny configuration and traffic monitoring approach.
          (Example: “All firewall zones start with deny-all; we maintain allow-lists 
           per zone and forward denied attempts to our SIEM for review.”)</t>
  </si>
  <si>
    <t>Budgeted and scheduled.</t>
  </si>
  <si>
    <t>4B-3</t>
  </si>
  <si>
    <t>Are critical services – such as GIS servers and call-routing platforms – kept separate (either on their own networks or VLANs) from general-use systems and protected with multiple access barriers?
If yes, please outline how you isolate and protect these critical systems.
          (Example: “Our GIS cluster is on a dedicated VLAN behind a hardened 
           firewall; only dispatch consoles can reach it over a dedicated VPN.”)</t>
  </si>
  <si>
    <t>4B-4</t>
  </si>
  <si>
    <t>Do you disable or tightly manage any direct device-to-device connections – logging, monitoring, and validating them – to prevent unauthorized or malicious file or data exchanges?
If yes, please explain how you govern peer-to-peer communications and manage exceptions.
          (Example: “We block all SMB between endpoints; approved file shares 
          run through our secure file-transfer service, which logs every transfer.”)</t>
  </si>
  <si>
    <t>4B-5</t>
  </si>
  <si>
    <t>Do you employ rate limiting, traffic filtering, and shaping at key ingress and egress points to guard against denial-of-service and other resource exhaustion attacks – and test these controls regularly?
If yes, please describe your DoS defenses and how frequently they are tested.
          (Example: “Our edge routers enforce per-IP rate limits; quarterly, we run 
           simulated DoS tests to verify thresholds and alerts.”)</t>
  </si>
  <si>
    <t>Target date established; not yet begun.</t>
  </si>
  <si>
    <t>C. DNS Governance &amp; Security Controls</t>
  </si>
  <si>
    <t>4C-1</t>
  </si>
  <si>
    <t>Is your DNS environment designed so that authoritative and recursive services are separated, and do you implement DNSSEC or encrypted DNS (DoH/DoT) to guard against attacks like cache poisoning or DDoS?
If yes, please describe your service segmentation and protective DNS technologies.
          (Example: “Authoritative and recursive servers run on distinct subnets; 
           we’ve enabled DNSSEC signing and force DoH for client queries.”)</t>
  </si>
  <si>
    <t>4C-2</t>
  </si>
  <si>
    <t>Do you have written governance for DNS administration that:
     * Restricts who can manage DNS roles (e.g., zone admins, record owners)
     * Enforces access controls and approval workflows for any DNS changes
     * Requires logged reviews or signoffs for all record or zone modifications
If yes, please describe your governance body and change-approval process.
          (Example: “Our Network Change Board approves all DNS changes; only 
           designated DNS admins can modify records, and each change is 
           recorded in our ticketing system.”)</t>
  </si>
  <si>
    <t>4C-3</t>
  </si>
  <si>
    <t>Do you enforce a secure configuration baseline for DNS servers that:
     * Disables unused or risky features
     * Requires change-control procedures for any configuration updates
     * Validates inputs (e.g., record formats) to prevent tampering 
         or injection attacks
If yes, please point to your baseline documentation and describe how configuration changes are managed.
          (Example: “We apply our DNS CIS Benchmark baseline via automation; 
           any deviation triggers a config-drift alert and requires peer review 
           to remediate.”)</t>
  </si>
  <si>
    <t>4C-4</t>
  </si>
  <si>
    <t>Do your policies require that any user with elevated DNS privileges (zone admins, change operators) authenticate with strong methods – such as MFA or client certificates – and that remote management access is tightly limited, logged, and audited?
If yes, please list the authentication methods used and how remote access is controlled.
          (Example: “All DNS admins log in via SSO with MFA; remote console 
           access is only allowed from a jump server and is recorded in our 
           audit logs.”)</t>
  </si>
  <si>
    <t>4C-5</t>
  </si>
  <si>
    <t>Do you apply security updates and patches to DNS server software as soon as they’re available – following a documented patch-management schedule?
If yes, please outline your patch cadence and how you verify completion.
          (Example: “We run a monthly patch cycle; DNS servers are updated in 
           our test lab first, then pushed to production during a maintenance 
           window, with compliance reports generated afterward.”)</t>
  </si>
  <si>
    <t>4C-6</t>
  </si>
  <si>
    <t>Do you capture and retain logs for every DNS query, configuration change, and zone update – with enough detail (user, timestamp, action) – and integrate those logs into your SIEM or review them regularly for threats?
If yes, please explain your logging detail, retention period, and review process.
          (Example: “Our DNS servers log queries and updates to syslog with user 
           IDs; logs are ingested into our SIEM and reviewed weekly for anomalies.”)</t>
  </si>
  <si>
    <t>Information not available at time of assessment.</t>
  </si>
  <si>
    <t>D. Email System Security &amp; Threat Protection</t>
  </si>
  <si>
    <t>4D-1</t>
  </si>
  <si>
    <t>Is your email system kept separate from your core, real-time operations (for example, 9-1-1 consoles), and treated as a semi-trusted network – subject to traffic inspection, sandboxing, or other protections?
If yes, please explain how you isolate email traffic, and which inspection or sandboxing tools are used.
          (Example: “Email servers run on a separate VLAN with a mail-proxy 
           appliance that sandboxes attachments.”)</t>
  </si>
  <si>
    <t>4D-2</t>
  </si>
  <si>
    <t>Do you set up all email servers and user email apps according to an approved “hardened” checklist, and do you regularly review key security settings (e.g., DKIM, SPF, DMARC, TLS)?
If yes, please list where your baseline hardening checklist is documented and how often you audit those settings.
          (Example: “Our checklist is in Confluence; we run automated 
           compliance scans every month.”)</t>
  </si>
  <si>
    <t>Not applicable to this environment.</t>
  </si>
  <si>
    <t>NOT APPLICABLE</t>
  </si>
  <si>
    <t>4D-3</t>
  </si>
  <si>
    <t>Can only approved, trained staff perform email tasks like:
     * Delegating someone else’s mailbox
     * Creating or changing inbox rules (automatic forwards, filters)
If yes, please describe how you assign and track those permissions.
          (Example: “Only our Messaging Admin group can change mailbox 
           rules; we review their access quarterly.”)</t>
  </si>
  <si>
    <t>4D-4</t>
  </si>
  <si>
    <t>Do you scan all incoming and outgoing email for malicious attachments, links, or code, and do you have continuous monitoring that blocks or flags phishing and other anomalies?
If yes, please name the tools or services you use and describe your monitoring and alerting process.
          (Example: “We use SecureMail Gateway for real-time scanning and SIEM 
           alerts on any flagged messages.”)</t>
  </si>
  <si>
    <t>E. Wireless &amp; Cellular Communications Security</t>
  </si>
  <si>
    <t>4E-1</t>
  </si>
  <si>
    <t>Do you have a formal policy that authorizes all wireless networks, requires strong encryption (for example, WPA3), certificates or passwords, and limits administrative functions to trained personnel?
If yes, please point to the policy document and describe how you enforce encryption and restrict administrative access.
          (Example: “Our Wireless Use Policy mandates WPA3 and is enforced via 
           our RADIUS server; only our Network Admin team can onboard APs.”)</t>
  </si>
  <si>
    <t>4E-2</t>
  </si>
  <si>
    <t>Do you keep wireless or field-deployed links separate from your core emergency systems, monitor them for unusual activity, and protect them with encryption, anti-jamming measures, and integrity checks?
If yes, please describe your network segmentation approach and the tools you use for monitoring and anti-jamming.
          (Example: “Field radios use a separate VLAN; we run LinkShield for 
           interference detection.”)</t>
  </si>
  <si>
    <t>4E-3</t>
  </si>
  <si>
    <t>Are all Wi-Fi routers/access points and client devices set up according to a documented hardened configuration, and do you regularly review and maintain those settings to close known vulnerabilities?
If yes, please share where your wireless hardening checklist is maintained and how often you audit device configurations.
          (Example: “Our baseline is in Confluence; we run a quarterly 
           compliance scan.”)</t>
  </si>
  <si>
    <t>Intending to implement in next phase.</t>
  </si>
  <si>
    <t>4E-4</t>
  </si>
  <si>
    <t>Is cellular access to your emergency-services applications formally approved, managed through mobile-device controls (MDM) or private APN settings, disabled when not in use, and restricted to mission-essential services?
If yes, please explain your MDM/APN setup and how you disable or restrict non-essential cellular access.
          (Example: “All dispatch tablets enroll in our MDM; non-dispatch 
           apps are blocked, and LTE is off after shift.”)</t>
  </si>
  <si>
    <t>Excluded from scope for this PSAP.</t>
  </si>
  <si>
    <t>4E-5</t>
  </si>
  <si>
    <t>Do you encrypt all cellular data sessions and fixed broadband links (using VPN or application-level encryption), detect and prevent connections to unauthorized base stations, and monitor for anomalies or interference?
If yes, please name the encryption/VPN solution and describe your monitoring approach.
          (Example: “We use SecureVPN on all radios; our NOC watches signal 
           integrity and logs any rogue-tower alerts.”)</t>
  </si>
  <si>
    <t>Unable to verify at this time.</t>
  </si>
  <si>
    <t>F. Device &amp; Remote Connectivity Controls</t>
  </si>
  <si>
    <t>4F-1</t>
  </si>
  <si>
    <t>Do you formally approve every connection between devices and systems – including any peer-to-peer links – and record them in your security plans?
If yes, please explain how you document each connection and how often you review that list.
          (Example: “We use our CMDB to track all interfaces; we audit it quarterly.”)</t>
  </si>
  <si>
    <t>4F-2</t>
  </si>
  <si>
    <t>Are all entry points from outside networks (for example, internet links, partner connections) protected by firewalls, Session Border Controllers, proxies, or encrypted tunnels – and are monitored for policy violations or unusual traffic?
If yes, please list the security devices or services you use and describe your monitoring process.
          (Example: “We have two perimeter firewalls and an SBC for SIP; 
           alerts feed into our SIEM in real time.”)</t>
  </si>
  <si>
    <t>Status undetermined.</t>
  </si>
  <si>
    <t>4F-3</t>
  </si>
  <si>
    <t>Is remote access to your systems only allowed through approved methods (VPN, virtual desktop, secure shell), and are those interfaces hardened according to your organization’s security settings?
If yes, please name the approved remote-access methods you support and summarize how you enforce your hardening standards.
          (Example: “We require our corporate VPN with MFA; server SSH only 
           allows key-based logins and NIST-approved ciphers.”)</t>
  </si>
  <si>
    <t>4F-4</t>
  </si>
  <si>
    <t>Do you record all remote-access attempts (both successful and failed), monitor active sessions, and review those logs regularly to catch misuse or anomalies?
If yes, please describe where those logs are stored, how long you keep them, and how frequently they are reviewed.
          (Example: “Our VPN logs go to the SIEM for 90 days; we run a monthly 
           report on failed logins.”)</t>
  </si>
  <si>
    <t>5. Endpoint Security &amp; Configuration Management</t>
  </si>
  <si>
    <t>A. Baseline Configuration &amp; Asset Management</t>
  </si>
  <si>
    <t>5A-1</t>
  </si>
  <si>
    <t>Do you keep a complete, up-to-date inventory of every hardware, software, and firmware item – recording make/model, version, and owner – and updating it automatically or in real time?
If yes, please describe the tool or process you use for inventory and how quickly it reflects asset changes.
          (Example: “Our CMDB syncs with SCCM and our network scan 
           tool every hour.”)</t>
  </si>
  <si>
    <t>5A-2</t>
  </si>
  <si>
    <t>Do you maintain written, approved baseline configurations for all critical systems and endpoints – covering settings like password rules, open/closed ports, and logging – and apply those baselines consistently?
If yes, please point to where your baselines are stored and explain how you roll them out and verify ongoing compliance.
          (Example: “Our Server Baseline Guide is in SharePoint; we push settings 
           via Group Policy and scan monthly.”)</t>
  </si>
  <si>
    <t>5A-3</t>
  </si>
  <si>
    <t>Do you have policies and change-control processes (for example, security reviews before changes, flaw/patch remediation, anti-malware safeguards, and ongoing system monitoring) that are applied across every system and device?
If yes, please describe how you enforce these controls (e.g., via ticket approvals, automated scans, or policy-compliance audits).
          (Example: “All changes must pass a security review in our ITSM tool 
           before deployment; our EDR flags unpatched hosts.”)</t>
  </si>
  <si>
    <t>5A-4</t>
  </si>
  <si>
    <t>Do you employ automated solutions that compare current configurations (inventory, firmware levels, endpoint settings) against your approved baselines and alert you to any unauthorized changes?
If yes, please name the tools you use and explain how configuration alerts are triaged.
          (Example: “We use DriftWatch to scan nightly and send exceptions 
           to our SOC for review.”)</t>
  </si>
  <si>
    <t>5A-5</t>
  </si>
  <si>
    <t>Are your network-segmentation zones, VLAN/firewall rules, and approved traffic-path restrictions documented in your configuration baselines – and enforced through your change-management process?
If yes, please describe where you document your network zones and how you ensure any changes go through your formal change-control process.
          (Example: “Our network map and ACLs live in the Security Handbook; 
           all firewall changes require a Change Request and peer review.”)</t>
  </si>
  <si>
    <t>On the project plan for upcoming quarter.</t>
  </si>
  <si>
    <t>B. Service &amp; Endpoint Hardening Controls</t>
  </si>
  <si>
    <t>5B-1</t>
  </si>
  <si>
    <t>Have you documented a secure baseline (password rules, port settings, screen-lock timeouts, etc.) and applied it consistently to every endpoint and system?
If yes, please point to the baseline document and explain how you enforce it on both new and existing devices.
          (Example: “Our Endpoint Security Standard lives in Confluence; all 
           workstations auto-apply it at login and are scanned weekly for drift.”)</t>
  </si>
  <si>
    <t>5B-2</t>
  </si>
  <si>
    <t>Do you disable or strictly control any services, ports, protocols, or features you don’t use – such as open Wi-Fi SSIDs, guest networks, old protocols, or automatic script execution – on all network devices and endpoints?
If yes, please describe how you identify unused items and how you disable or restrict them.
          (Example: “We run a quarterly port-scan report and disable all 
           non-standard services via Group Policy.”)</t>
  </si>
  <si>
    <t>5B-3</t>
  </si>
  <si>
    <t>For systems like VoIP platforms or multimedia servers, do you apply extra hardening (default encryption, service restrictions, sandboxing, content filtering) to address their specific threats?
If yes, please list one or two of these systems and describe the additional hardening controls you use.
          (Example: “Our VoIP system enforces SRTP, restricts SIP on non-standard 
           ports, and sandboxes file transfers.”)</t>
  </si>
  <si>
    <t>Not relevant given operational configuration.</t>
  </si>
  <si>
    <t>5B-4</t>
  </si>
  <si>
    <t>Do you have anti-malware (AV/EDR) and other endpoint protection installed on all critical systems as part of a layered defense approach?
If yes, please name the solutions in use and how you ensure they stay updated and enforced.
          (Example: “We use Defender for Endpoint centrally managed with 
           daily signature and policy updates.”)</t>
  </si>
  <si>
    <t>5B-5</t>
  </si>
  <si>
    <t>Do you operate IDS/IPS technology under documented procedures that cover: secure baseline configuration, change impact reviews, and regular integrity checks?
If yes, please describe where those procedures are documented and how frequently they are reviewed or tested.
          (Example: “Our IDS/IPS Policy in our Security Handbook is reviewed 
           semi-annually; we run weekly integrity checks.”)</t>
  </si>
  <si>
    <t>C. Configuration Change &amp; Patch Management</t>
  </si>
  <si>
    <t>5C-1</t>
  </si>
  <si>
    <t>Do you apply documented change-management steps (roles, timelines, security reviews before changes, formal approvals, tracking of requests, and reviews of any deviations from standard settings) across every system and device?
If yes, please describe how you enforce them (e.g., through your IT service-desk platform, automated gates, or audit mechanisms) and how often you audit compliance.
          (Example: “All changes go through our Change Board in ServiceNow; we 
           run quarterly audit reports on any out-of-band changes.”)</t>
  </si>
  <si>
    <t>5C-2</t>
  </si>
  <si>
    <t>Before approving any change, do you assess its security impact, risk to ongoing operations, and possible unintended side effects – using your approved baselines as a guide?
If yes, please share how you conduct that evaluation (e.g., risk-scoring matrix or standardized checklist) and who signs off at each risk level.
          (Example: “We use a 5-point risk matrix and require manager approval 
           for scores above 3.”)</t>
  </si>
  <si>
    <t>5C-3</t>
  </si>
  <si>
    <t>Do you have a documented patch process that covers every software and firmware update (including on SBCs and other specialized gear) – ensuring updates are reviewed, authenticity-checked, applied promptly (ideally via automation), and scheduled by risk priority?
If yes, please name your patch-management tool or process and explain how you prioritize and deploy updates.
          (Example: “We use WSUS and SCCM; critical patches go out within 
           72 hours and are signed off by our Security Lead.”)</t>
  </si>
  <si>
    <t>5C-4</t>
  </si>
  <si>
    <t>Do you schedule hardware/software maintenance on sensitive or critical systems only with authorized, supervised personnel – following a defined timetable and with measures to protect data confidentiality and service uptime?
If yes, please outline how you authorize maintenance, who performs it, and what safeguards (e.g., backups, redundancy, oversight) you have in place.
          (Example: “Only our Tier 1 engineers on call can perform maintenance; 
           we require pre-maintenance backups and a second sign-off for any 
           downtime.”)</t>
  </si>
  <si>
    <t>Out of scope for current assessment.</t>
  </si>
  <si>
    <t>5C-5</t>
  </si>
  <si>
    <t>After any update or configuration change, do you verify integrity (hash checks), review logs for errors, and monitor for anomalies – making sure data remains intact before and after deployment?
If yes, please describe your validation steps and tools (e.g., file-integrity scripts or SIEM alerts).
          (Example: “Post patch, we run a file-hash comparison and check SIEM 
           for any failed service-start events.”)</t>
  </si>
  <si>
    <t>Inapplicable to current operating model.</t>
  </si>
  <si>
    <t>D. Endpoint &amp; Remote Device Security</t>
  </si>
  <si>
    <t>5D-1</t>
  </si>
  <si>
    <t>Do you have documented rules that require on-device encryption (both stored data and network traffic), strong login methods (MFA or certificates), remote-wipe capability, and controls to prevent sensitive data from leaking?
If yes, please point to the policy document and describe how you enforce these requirements.
          (Example: “Our Mobile Device Policy enforces full-disk encryption and 
           MDM-controlled remote wipe; compliance is checked monthly.”)</t>
  </si>
  <si>
    <t>5D-2</t>
  </si>
  <si>
    <t>Do all devices – both on-site (desktops, servers) and remote (laptops, tablets) – feed their logs into your central security system, sit behind the appropriate network zones, and use scalable protections (e.g., automated patching, endpoint agents)?
If yes, please explain which logging and segmentation tools you use and how you ensure every endpoint is covered.
          (Example: “All endpoints run our EDR agent and forward logs to the SIEM; 
           remote users connect through our segmented VPN.”)</t>
  </si>
  <si>
    <t>5D-3</t>
  </si>
  <si>
    <t>Do you continuously monitor all servers, workstations, and network devices for signs of issues – such as hardware or software problems (malfunctions), unapproved changes (configuration drift), or security breaches – and do you have automated checks and alerts in place to detect and respond to them quickly?
If yes, please name the monitoring tools or services you use and describe how alerts are handled.
          (Example: “Our monitoring platform runs hourly health checks and 
           sends critical alerts to our on-call team via SMS.”)</t>
  </si>
  <si>
    <t>5D-4</t>
  </si>
  <si>
    <t>When you receive or process files like images, videos, or audio, do you scan them for malware, validate their format, strip or secure metadata, and follow privacy rules to block harmful content or injection attacks?
If yes, please describe the tools or workflows you use to analyze and sanitize multimedia files.
          (Example: “We pipe all uploads through VirusScan for malware and 
           use FileGuard to remove EXIF data before storing.”)</t>
  </si>
  <si>
    <t>6. Cryptography, Encryption &amp; Key Management Governance</t>
  </si>
  <si>
    <t>A. Encryption &amp; Cryptography Governance</t>
  </si>
  <si>
    <t>6A-1</t>
  </si>
  <si>
    <t>Do you maintain formal policies – embedded in your security and privacy plans – that define how cryptographic keys are generated, distributed, rotated, revoked, and stored across all public-safety systems?
If yes, please indicate where the key-management policy is documented and summarize its main lifecycle controls (e.g., rotation frequency or separation of duties).
          (Example: “Our Key Management Standard is in the Policy Manual; keys 
           rotate every 180 days and are stored in an HSM with dual-control access.”)</t>
  </si>
  <si>
    <t>6A-2</t>
  </si>
  <si>
    <t>Are all cryptographic functions – both for protecting data in transit (VPNs, email encryption) and at rest (database or file encryption) – built on FIPS- or NIST-approved algorithms, configured to block deprecated ciphers, and subject to regular validation or testing?
If yes, please name the algorithms and tools in use (e.g., AES 256, RSA 2048, or OpenSSL FIPS module) and explain how you validate or test them.
          (Example: “We enforce AES 256-GCM for disk encryption and run 
           quarterly compliance scans with our crypto-validation tool.”)</t>
  </si>
  <si>
    <t>6A-3</t>
  </si>
  <si>
    <t>Do you encrypt every sensitive data exchange – such as device-to-device communications, SIP/RTP voice streams, call metadata, external system interfaces, and remote-access sessions – using standards-based, end-to-end protocols?
If yes, please list which protocols you use (e.g., TLS 1.3, SRTP with ZRTP key negotiation) and where in your architecture each is applied.
          (Example: “We use TLS 1.3 for all web and API traffic, and SRTP with 
           AES-GCM for voice streams between call consoles.”)</t>
  </si>
  <si>
    <t>Requires further investigation to confirm.</t>
  </si>
  <si>
    <t>B. PKI &amp; Certificate Management</t>
  </si>
  <si>
    <t>6B-1</t>
  </si>
  <si>
    <t>Do you have formal, written policies that cover how digital certificates are requested, approved, and managed – restricting self-signed certificates to approved exceptions, tracking expirations, and embedding those practices in your system security plans?
If yes, please point to the policy location and summarize the main controls (for example, approval workflows, renewal reminders, and documentation requirements).
          (Example: “Our Certificate Policy in the Security Handbook requires a 
           two-step approval for new certificates and automatic email reminders 
           30 days before expiration.”)</t>
  </si>
  <si>
    <t>6B-2</t>
  </si>
  <si>
    <t>Do you require and use Public Key Infrastructure (PKI) certificates to verify the identity of systems and users (including in cloud environments), and do you ensure those certificates remain available during continuity or disaster-recovery scenarios?
If yes, please describe which systems and services use certificates, how you ensure certificate availability (for example, backup CAs or failover workflows), and any cloud-specific practices.
          (Example: “All web APIs and admin consoles use certificates from 
           our internal CA; we replicate the CA to a DR site and automate failover.”)</t>
  </si>
  <si>
    <t>6B-3</t>
  </si>
  <si>
    <t>At runtime, do you validate certificate chains – performing revocation checks via CRL or OCSP, blocking untrusted or expired certificates – and integrate those checks into your continuous monitoring and audit processes?
If yes, please describe how you configure revocation checking (CRL/OCSP), where you log validation failures, and how you review or alert on them.
          (Example: “Our load balancers enforce OCSP stapling and send any 
           revocation errors to our SIEM, where we generate daily exception reports.”)</t>
  </si>
  <si>
    <t>C. Cryptographic Key Governance &amp; Availability</t>
  </si>
  <si>
    <t>6C-1</t>
  </si>
  <si>
    <t>Do you generate all encryption keys using approved standards (for example, NIST-validated protocols) and protect them during distribution to prevent interception or misuse?
If yes, please describe your key-generation process (tool or HSM used) and how you safeguard keys in transit (for example, out-of-band transfer or encrypted channels).
          (Example: “We generate AES keys inside our FIPS-validated HSM and 
           export them over an encrypted TLS session to the target system.”)</t>
  </si>
  <si>
    <t>6C-2</t>
  </si>
  <si>
    <t>Do you rotate keys on a defined schedule, store them securely (in HSMs or vaults), back them up or escrow them, and ensure their availability for daily operations and disaster-recovery scenarios?
If yes, please explain your rotation policy (including frequency), storage method, and how you retrieve keys during an outage.
          (Example: “Keys rotate every 90 days, are kept in our on-prem vault and 
           replicated to a cloud vault and can be accessed by our DR team via 
           dual-control procedure.”)</t>
  </si>
  <si>
    <t>6C-3</t>
  </si>
  <si>
    <t>For special use cases – such as protecting log files, securing remotely deployed devices, or supporting asymmetric exchanges – do you issue dedicated keys and store them securely to prevent unauthorized access or data interception?
If yes, please list one or two examples (e.g., “log-integrity HMAC keys” or “device-certificate keys”) and describe where and how those keys are stored.
          (Example: “Our log-integrity keys live in a separate HSM partition 
           with restricted operator roles.”)</t>
  </si>
  <si>
    <t>6C-4</t>
  </si>
  <si>
    <t>Do you have automated monitoring in place for your key-management systems and cryptographic operations – checking system health, ensuring keys are ready, and detecting and alerting on anomalies to maintain availability and integrity?
If yes, please describe the monitoring setup (tool or dashboard) and what alerts you get for issues like HSM failures or unauthorized access attempts.
          (Example: “Our vault exports metrics to our monitoring platform; 
           we get an alert if any HSM interface goes offline or if a failed 
           access occurs.”)</t>
  </si>
  <si>
    <t>7. Logging, Monitoring &amp; Event Detection</t>
  </si>
  <si>
    <t>A. Logging Policy, Content &amp; Review</t>
  </si>
  <si>
    <t>7A-1</t>
  </si>
  <si>
    <t>Do you have formal, written policies – and clearly assigned roles – that cover how you generate, protect, review, and analyze audit logs for every emergency communications system, with rules scaled to each system’s importance and data sensitivity?
If yes, please describe where these policies live, who is responsible for each task (log creation, protection, review, analysis), and how often the policies are revisited.
          (Example: “Our Audit Logging Policy is in the Security Manual; the SOC 
           Lead owns log analysis, and we update the policy each January.”)</t>
  </si>
  <si>
    <t>7A-2</t>
  </si>
  <si>
    <t>Do your logs record essential information for every event – such as the time and date, the user or system account involved, whether the action succeeded or failed, and what data was accessed – across all platforms and classifications?
If yes, please list one or two key log events you capture (e.g., “file access attempts in CAD”) and where those logs are stored.
          (Example: “We log every login attempt (with user ID, timestamp, IP) and 
           store them in our SIEM for 180 days.”)</t>
  </si>
  <si>
    <t>7A-3</t>
  </si>
  <si>
    <t>Does someone monitor logs as they’re generated to spot anomalies immediately, and also review them periodically – weekly or monthly – for trends or signs of attempted breaches?
If yes, please explain who performs real-time alert monitoring vs. trend reviews, what tools they use, and how often those periodic reviews occur.
          (Example: “Our SIEM triggers instant alerts on failed SSH logins; our 
           SOC team runs a weekly dashboard review for unusual patterns.”)</t>
  </si>
  <si>
    <t>7A-4</t>
  </si>
  <si>
    <t>Do you keep all system and application logs for the length of time required by your operations, legal mandates, or regulations – ensuring they remain available for investigations or compliance audits?
If yes, please specify your retention periods (for example, “180 days for operational logs, 7 years for regulatory”) and where archived logs can be retrieved.
          (Example: “We retain CAD logs for 2 years in our cold-storage archive 
           and keep firewall logs for 1 year online.”)</t>
  </si>
  <si>
    <t>B. Continuous Monitoring &amp; Threat Detection</t>
  </si>
  <si>
    <t>7B-1</t>
  </si>
  <si>
    <t>Do you have formal, written policies and procedures – covering who does what (roles), what systems are watched (scope), and how you monitor (methods) – for continuously observing CAD, GIS, call routing, and other public safety platforms based on your risk assessments?
If yes, please indicate where these policies live, who’s responsible for each task, and how often you update them.
          (Example: “Our Continuous Monitoring Plan in SharePoint assigns the 
           SOC Lead to oversee IDS/IPS, and we review the scope annually.”)</t>
  </si>
  <si>
    <t>7B-2</t>
  </si>
  <si>
    <t>Do you collect logs and events from network devices, servers, applications, and user access into a central system, correlate key events (logins, file access, config changes) to spot suspicious behavior, and have assigned staff review those analyses?
If yes, please name your log-management or SIEM platform and describe who analyzes the correlated events and how often.
          (Example: “All logs feed into our SIEM; the SOC Analyst reviews 
           high-priority correlations twice daily.”)</t>
  </si>
  <si>
    <t>7B-3</t>
  </si>
  <si>
    <t>Do you use automated tools – like IDS/IPS, host-based monitors, or configuration-anomaly scanners – to watch for unauthorized devices, signs of exploitation, or tampering, and do you tune them so alerts are meaningful and reviewed promptly?
If yes, please list the tools you use and describe your tuning and alert review process.
          (Example: “We run Snort for network IDS and OSSEC on hosts; we adjust 
           thresholds quarterly and the SOC triages alerts within 30 minutes.”)</t>
  </si>
  <si>
    <t>7B-4</t>
  </si>
  <si>
    <t>Do you apply continuous monitoring in cloud-based or virtualized systems – capturing audit logs for data access, account changes, and configuration updates – and check for abnormal behavior or performance that could impact critical services?
If yes, please explain which cloud monitoring tools or native services you use and how you handle alerts for cloud-specific anomalies.
          (Example: “We use CloudWatch and Azure Sentinel to track VM 
           configuration changes and trigger alerts on unusual spikes.”)</t>
  </si>
  <si>
    <t>7B-5</t>
  </si>
  <si>
    <t>Have you deployed diagnostic or predictive monitoring solutions that look for early warning signs of infrastructure or system health issues, and have you tuned those tools to match the normal patterns and risk tolerance of your ECC/PSAP environment?
If yes, please describe the tools (for example, synthetic transaction monitors) and how they align with operational needs.
          (Example: “We run Pingdom for synthetic call flow tests and Grafana 
           alerts on CPU/memory trends, with thresholds set to our peak 
           load benchmarks.”)</t>
  </si>
  <si>
    <t>C. Security Event Review &amp; Detection</t>
  </si>
  <si>
    <t>7C-1</t>
  </si>
  <si>
    <t>Do you use monitoring software and defined procedures that:
     * Record important system events (such as user logins, file accesses, 
         configuration changes)
     * Categorize issues by severity level (low, medium, high)
     * Generate alerts in response to potential threats or system issues
If yes, please name the monitoring tools or services you use and describe how you set alert thresholds.
          (Example: “We use our SIEM to log all SSH attempts and send a ‘high’ alert 
           if there are more than five failures in 10 minutes.”)</t>
  </si>
  <si>
    <t>7C-2</t>
  </si>
  <si>
    <t>Are your audit logs stored and safeguarded so they cannot be altered or deleted (for example, through restricted permissions or cryptographic signatures) to ensure they remain trustworthy for investigations?
If yes, please describe the controls you use (such as write-once storage, HMAC signing, or ACL restrictions).
          (Example: “We write logs to a write-once storage tier and apply HMAC 
           signatures before archiving.”)</t>
  </si>
  <si>
    <t>7C-3</t>
  </si>
  <si>
    <t>Do you have a written procedure that schedules regular reviews of security event data – such as login attempts, file access records, configuration changes, or intrusion alerts – and outlines how to investigate anything unusual that could affect emergency operations?
If yes, please point to where this process is documented and give the review frequency (for example, daily, weekly).
          (Example: “Our Security Review SOP in Confluence mandates a daily 
           morning review of all Level 2 or higher alerts by the SOC team.”)</t>
  </si>
  <si>
    <t>7C-4</t>
  </si>
  <si>
    <t>Do you have documented steps showing how and to whom you escalate alerts or reports – such as data access anomalies, intrusion indicators, or operational risks – so the right technical or management personnel respond quickly?
If yes, please summarize the escalation paths (for example, “Level 1 alerts go to the SOC analyst; Level 3 incidents trigger an immediate email to the IT Director”).
          (Example: “Our Incident Response Plan routes any suspected breach 
           to the CISO within 15 minutes for decision making.”)</t>
  </si>
  <si>
    <t>D. Time Synchronization &amp; Log Integrity</t>
  </si>
  <si>
    <t>7D-1</t>
  </si>
  <si>
    <t>Do you configure all servers, network devices, and specialized systems (including Session Border Controllers) to use authenticated and authoritative time sources (for example, secure NTP servers or GPS clocks), performing integrity checks – and do you detect and fix any time-sync failures promptly?
If yes, please describe which time sources you use, how you secure and monitor the sync process, and how you handle any disruptions.
          (Example: “All our systems point to our internal NTP cluster (stratum 2, 
           using symmetric key authentication); we alert on &gt;5-minute drift and fail 
           over to GPS units.”)</t>
  </si>
  <si>
    <t>7D-2</t>
  </si>
  <si>
    <t>Do you ensure every log entry and security event carries the correct, synchronized timestamp – regularly validating clock accuracy, correcting drift promptly, and keeping system times aligned across all systems (including SBCs and edge devices)?
If yes, please explain how you verify timestamp accuracy (for example, periodic checks), how you correct misalignments, and where you document that process.
          (Example: “Our SOC runs a weekly time-audit script comparing host 
           clocks to NTP; any outliers over 2 seconds are auto-corrected 
           and logged.”)</t>
  </si>
  <si>
    <t>8. Response, Recovery, &amp; Forensic Readiness</t>
  </si>
  <si>
    <t>A. Incident Reponse Planning &amp; Procedures</t>
  </si>
  <si>
    <t>8A-1</t>
  </si>
  <si>
    <t>Do you have formal, written policies and procedures – including a Cybersecurity Incident Response Plan – that cover how you identify, report, analyze, and resolve cybersecurity incidents – specifying roles and responsibilities, how teams communicate, and how issues are escalated for all public safety systems?
If yes, please indicate where these policies are stored, who is responsible for each step (detection, reporting, analysis, resolution), and how often the incident response plan is reviewed.
          (Example: “Our Incident Response Plan in the Security Manual assigns 
           the SOC Lead to analysis, the CISO to escalation decisions, and it’s 
           updated annually.”)</t>
  </si>
  <si>
    <t>8A-2</t>
  </si>
  <si>
    <t>Is your incident response plan embedded in employee training – so everyone knows how to report suspicious activity or data loss and understands their specific roles during an ECC security event?
If yes, please describe the training format (e.g., tabletop exercises, online modules), frequency, and how you measure staff readiness.
          (Example: “We run quarterly phishing simulations with a follow-up 
           workshop, and track completion rates in our LMS.”)</t>
  </si>
  <si>
    <t>Committed to; awaiting resources.</t>
  </si>
  <si>
    <t>B. Incident Response Execution &amp; Resilience</t>
  </si>
  <si>
    <t>8B-1</t>
  </si>
  <si>
    <t>Do you maintain documented incident response procedures that are reviewed regularly and tested through both tabletop exercises and live drills to support rapid containment, notification, and recovery from any cybersecurity event?
If yes, please indicate where those procedures are stored, how frequently they are reviewed, and describe the types of exercises or drills you run.
          (Example: “Our IR Plan in the Security Handbook is updated annually; 
           we run tabletop exercises every Q2 and full failover drills once a year.”)</t>
  </si>
  <si>
    <t>Planned as part of program improvement.</t>
  </si>
  <si>
    <t>8B-2</t>
  </si>
  <si>
    <t>Do you record every incident – service outages, security breaches, or configuration drifts – at the time of occurrence, investigate them, and use findings to update your risk assessments and initiate corrective actions?
If yes, please describe your incident logging and investigation process and how you integrate findings into your risk process.
          (Example: “All incidents are logged in our ticketing system within 
           1 hour; post-mortems drive quarterly risk assessment updates.”)</t>
  </si>
  <si>
    <t>8B-3</t>
  </si>
  <si>
    <t>Do you integrate secure credential management solutions (like password vaults or automated secret rotation) into your incident response workflows to support rapid recovery and remediation when credentials are suspected or confirmed as compromised?
If yes, please name the tools you use and describe how they are integrated into your IR playbooks.
          (Example: “We use VaultCluster for privileged credentials; our IR 
           runbook calls for immediate credential rotation via Vault API when 
           an account is breached.”)</t>
  </si>
  <si>
    <t>8B-4</t>
  </si>
  <si>
    <t>Do you have documented policies and procedures specifically for detecting, coordinating responses to, and ensuring operational continuity during denial-of-service attacks on your emergency communications systems?
If yes, please point to those documents and describe your DoS response steps (detection methods, escalation contacts, continuity procedures).
          (Example: “Our DoS SOP in the ECC Manual outlines automated 
           traffic-spike alerts, upstream filtering coordination, and fallback 
           to our secondary call center.”)</t>
  </si>
  <si>
    <t>C. Forensic Readiness &amp; Evidence Management</t>
  </si>
  <si>
    <t>8C-1</t>
  </si>
  <si>
    <t>Do you enable detailed audit logging and session recording (especially on Session Border Controllers) with precise timestamps, protect those logs from tampering using cryptographic methods, and continuously monitor them for anomalies to ensure non-repudiation?
If yes, please describe how you secure and monitor those logs (for example, HMAC signing, write-once storage, SIEM alerts).
          (Example: “Our SBC logs are HMAC-signed at write time, shipped 
           to our SIEM, and flagged if any integrity checks fail.”)</t>
  </si>
  <si>
    <t>8C-2</t>
  </si>
  <si>
    <t>When an incident occurs, do your response procedures call for isolating affected systems, collecting volatile and persistent logs, capturing disk or memory images, and documenting the chain of custody to preserve forensic integrity?
If yes, please outline those steps and indicate where the procedure is documented.
          (Example: “Our IR playbook (Section 3.2) directs first responders to 
           pull a live memory image, then power off the host for a hashed disk 
           image, logging each handoff.”)</t>
  </si>
  <si>
    <t>8C-3</t>
  </si>
  <si>
    <t>Do you have designated forensic analysts (internal or contracted), secure evidence storage facilities, and clear escalation paths documented for rapid evidence collection and analysis?
If yes, please name the team or role, describe where you store forensic data, and summarize the escalation process.
          (Example: “Our digital forensics team (3 staff) stores media in a locked 
           safe room; any high-severity incident triggers the CISO to engage them 
           within 1 hour.”)</t>
  </si>
  <si>
    <t>8C-4</t>
  </si>
  <si>
    <t>Do you maintain isolated analysis environments (air-gapped or sandboxed systems) for examining untrusted media – such as unknown USB drives or multimedia message submissions – to prevent accidental compromise of production systems?
If yes, please describe the containment setup and identify who is authorized to use it.
          (Example: “We have a stand-alone forensic workstation in an air-gapped 
           lab; only our forensics team can mount and analyze external media.”)</t>
  </si>
  <si>
    <t>9. Business Continuity &amp; Environmental Resilience</t>
  </si>
  <si>
    <t>A. Continuity Planning &amp; Recovery</t>
  </si>
  <si>
    <t>9A-1</t>
  </si>
  <si>
    <t>Do you have formal, written contingency (business continuity/disaster recovery) policies and procedures – aligned with your cybersecurity practices – that cover all types of disruptions (cyberattacks, natural disasters, power failures, etc.) and clearly define roles and responsibilities to support recovery efforts for public safety systems?
If yes, please indicate where these documents are stored, list the key roles and responsibilities, and note how often you review or update them.
          (Example: “Our Continuity Plan in the Security Manual assigns the 
           Emergency Ops Manager to lead DR and is updated annually.”)</t>
  </si>
  <si>
    <t>9A-2</t>
  </si>
  <si>
    <t>Has your organization identified its mission-critical processes (for example, 9-1-1 call taking, dispatch, GIS mapping) and ranked them by recovery priority – and do you regularly test those plans and train staff so they can perform under emergency conditions?
If yes, please list your top three mission-essential processes and describe your testing and training cadence.
          (Example: “Call-taking is our #1; we run quarterly failover drills and 
           annual tabletop exercises.”)</t>
  </si>
  <si>
    <t>9A-3</t>
  </si>
  <si>
    <t>Do you maintain and test designated recovery procedures – including alternate sites, backup data stores, radio failover paths, and mobile command units – to restore system functionality and data integrity in full when primary facilities are unavailable?
If yes, please describe one alternate resource (e.g., a secondary data center or mobile dispatch van) and how you validate its readiness.
          (Example: “Our secondary data center is spun up biannually for 
           24-hour failover tests.”)</t>
  </si>
  <si>
    <t>Queued for next implementation window.</t>
  </si>
  <si>
    <t>9A-4</t>
  </si>
  <si>
    <t>When operating in degraded or alternate modes, do your recovery plans include compensating security measures – such as encrypted backups, limited remote access rules, or manual audit logs – to keep sensitive data and system integrity protected?
If yes, please give one example of a fallback control you deploy during a disruption.
          (Example: “In DR mode we enforce VPN-only access with multifactor 
           authentication and write-only logging to prevent data loss.”)</t>
  </si>
  <si>
    <t>B. Backup &amp; Restoration Management</t>
  </si>
  <si>
    <t>9B-1</t>
  </si>
  <si>
    <t>Do you have formal, written backup policies – assigned to a specific owner – that specify backup ownership, procedures, and alignment with continuity requirements for all critical data (for example, call recordings, dispatch logs, databases)?
If yes, please indicate where the policy is stored, who the owner is, and how often it’s reviewed.
          (Example: “Our Backup Policy in SharePoint is owned by the IT 
           Operations Manager and reviewed annually.”)</t>
  </si>
  <si>
    <t>9B-2</t>
  </si>
  <si>
    <t>Are your backup copies stored in protected, isolated locations – using immutable storage or write-once media, encrypted at rest, and spread across geographic sites – to defend against malware, accidental deletion, or sitewide failures?
If yes, please describe your backup storage strategy (for example, write-once cloud buckets, offsite tape vaults) and how you enforce immutability and encryption.
          (Example: “Our backups go to immutable S3 buckets with server-side 
           encryption, and we keep a daily tape copy off-site.”)</t>
  </si>
  <si>
    <t>9B-3</t>
  </si>
  <si>
    <t>Are backups performed at a frequency to meet your Recovery Time Objectives (RTO) and Recovery Point Objectives (RPO), and do you verify those backups through integrity checks and periodic restore tests to ensure reliable data recovery?
If yes, please describe your backup schedule, how you check backup integrity, and when you last performed a restore test.
          (Example: “We back up our databases every 4 hours, run daily checksum 
           validation, and did a full restore drill in March 2025.”)</t>
  </si>
  <si>
    <t>9B-4</t>
  </si>
  <si>
    <t>Do you conduct realistic recovery tests by restoring systems from backups to confirm operational readiness, data consistency, and ensure verified backups are usable during actual incidents?
If yes, please share how often you conduct these tests, which systems you include, and any lessons learned from the last test.
          (Example: “We perform semiannual DR drills restoring our CAD 
           environment and updated our runbook after uncovering a configuration 
           mismatch last October.”)</t>
  </si>
  <si>
    <t>C. Redundancy, Recovery &amp; Resilience</t>
  </si>
  <si>
    <t>9C-1</t>
  </si>
  <si>
    <t>Have you built your critical services across multiple locations, with hardware or software from different vendors and connectivity through separate providers, so that a localized failure or vendor outage does not impact all services?
If yes, please describe one example of geographic or vendor diversity in your environment.
          (Example: “We replicate call routing servers between two data centers 
           50 miles apart and use two different network carriers for each site.”)</t>
  </si>
  <si>
    <t>9C-2</t>
  </si>
  <si>
    <t>Have you mapped out any single points of failure in your infrastructure (for example, a lone cable path, a single power supply, or one core switch) and implemented redundancy – such as extra cables, backup hardware, or distributed services – to mitigate those risks?
If yes, please describe one or two key redundancies you’ve implemented and how you prioritize which failures to address first.
          (Example: “We run two physically diverse fiber paths to each data center 
           and have dual power supplies on all core switches.”)</t>
  </si>
  <si>
    <t>9C-3</t>
  </si>
  <si>
    <t>Do you have automatic or manual failover configurations – such as alternate routing paths, redundant links, or the ability to swap service providers – and do you test them regularly under simulated failure scenarios?
If yes, please outline your failover test process and indicate how often you run it.
          (Example: “We simulate a primary link outage monthly and verify traffic shifts 
           over our backup MPLS path within 30 seconds.”)</t>
  </si>
  <si>
    <t>9C-4</t>
  </si>
  <si>
    <t>Do your contingency and recovery plans specifically cover rapid rebuilding of network services (routers, switches, firewalls) and the prioritized restoration of life-critical systems, and do you test these plans to confirm effectiveness?
If yes, please point to the plan location, describe the test frequency, and share a recent example of a test or drill.
          (Example: “Our Network DR Plan is in our Continuity Binder; we run 
           quarterly failover drills and last simulated a firewall rebuild in May 2025.”)</t>
  </si>
  <si>
    <t>D. Power &amp; Environmental Resilience</t>
  </si>
  <si>
    <t>9D-1</t>
  </si>
  <si>
    <t>Are there documented response procedures in your continuity plan for environmental infrastructure failures – such as fire suppression activations, HVAC loss, or building power outages – to ensure continuity of emergency communications operations?
If yes, please indicate where the procedure is documented and summarize the key response steps and roles (for example, who coordinates HVAC repair or moves staff to alternate facilities).
          (Example: “Our Facility Response SOP in the Continuity Binder includes 
           automatic switchovers to secondary cooling and directs the Facilities 
           Manager to open the backup dispatch room within 30 minutes.”)</t>
  </si>
  <si>
    <t>9D-2</t>
  </si>
  <si>
    <t>Do you have sensors or systems (for fire, temperature, humidity, water leaks, etc.) that automatically notify or initiate manual incident response workflows upon detecting a hazard – so that issues can be mitigated before impacting service delivery?
If yes, please list the environmental monitors in use, how alerts are sent (SMS, paging, dashboard), and the immediate response steps taken when a fault is detected.
          (Example: “Our NOC receives temperature alarm SMS from the Data Center 
           sensor; on alarm, the on-call engineer checks the HVAC and escalates to 
           Facilities if it’s not corrected within 5 minutes.”)</t>
  </si>
  <si>
    <t>9D-3</t>
  </si>
  <si>
    <t>Do your mission-critical systems (network gear, dispatch consoles, CAD/GIS platforms) have redundant power supplies (such as UPS units and standby generators) that are tested regularly? Additionally, do you have self-contained or limited capability alternatives (like battery-powered consoles or portable generators) for extended outages?
If yes, please describe which systems are on UPS/generator power, how often you test them (for example, monthly load tests), and what fallback options you maintain.
          (Example: “All core switches and dispatch workstations run on a 
           15-minute UPS and 72-hour generator; we perform load bank tests 
           quarterly and keep two portable diesel generators ready.”)</t>
  </si>
  <si>
    <t>10. Physical &amp; Environmental Security Management</t>
  </si>
  <si>
    <t>A. Facility Access Control &amp; Perimeter Security</t>
  </si>
  <si>
    <t>10A-1</t>
  </si>
  <si>
    <t>Do you have formal, written physical security policies and procedures for every critical facility (dispatch centers, data rooms, etc.) that define key elements such as:
     * Assigned responsibilities and authorization levels
     * How credentials are issued and revoked
     * How often the policies are reviewed
If yes, please point to where these documents are stored, name the policy owner, and note the review frequency.
          (Example: “Our Physical Security Manual in SharePoint is owned by 
           Facilities Management and reviewed every six months.”)</t>
  </si>
  <si>
    <t>10A-2</t>
  </si>
  <si>
    <t>Do you require background checks and identity verification before granting physical access to sensitive areas, and do these same checks apply to both employees and third-party contractors?
If yes, please summarize your screening process and whether it differs for staff versus vendors.
          (Example: “All staff and contractors undergo a criminal and employment 
           history check before badge issuance.”)</t>
  </si>
  <si>
    <t>10A-3</t>
  </si>
  <si>
    <t>Do you train all employees and contractors on their responsibilities – locking doors behind them, preventing tailgating, safeguarding badges – and provide regular reminders or drills to maintain perimeter security discipline?
If yes, please describe your training and reminder cadence (for example, annual briefings or quarterly email campaigns).
          (Example: “We include perimeter security in new hire orientation and 
           send quarterly ‘Secure the Perimeter’ tips via email.”)</t>
  </si>
  <si>
    <t>10A-4</t>
  </si>
  <si>
    <t>Do you use access controls (badges, PIN/keypads, or biometrics) to enforce those policies – covering how you issue credentials, what must be displayed, visitor check-in and check-out, emergency overrides, and controls to detect or prevent misuse (such as tailgating or badge cloning)?
If yes, please list the access technologies in use and describe how you monitor for misuse.
          (Example: “We use proximity badges with mantrap vestibules 
           and video analytics to detect tailgating.”)</t>
  </si>
  <si>
    <t>10A-5</t>
  </si>
  <si>
    <t>Are IDF/MDF closets, server rooms, and cable trunk pathways subject to the same access authorization, credentialing, and logging requirements as other critical facilities – so only authorized staff can enter, and all activity is recorded?
If yes, please specify how you secure and monitor those spaces differently (or the same) as your main facilities.
          (Example: “Our IDF racks are locked with electronic locks tied into the 
           same badge system; entry logs are automatically forwarded to the SOC.”)</t>
  </si>
  <si>
    <t>10A-6</t>
  </si>
  <si>
    <t>Do you record every entry and exit event, movement of critical equipment, and badge-related incident (lost, stolen, or misuse), review those logs regularly, and feed them into your overall security monitoring system – so IT, security, and leadership can investigate incidents and take corrective action?
If yes, please describe where logs are stored, who reviews them, and how they’re integrated with your SIEM or monitoring platform.
          (Example: “Door access logs go to our SIEM in real time; Facilities and 
           SOC analysts review anomalies weekly.”)</t>
  </si>
  <si>
    <t>B. Visitor Management</t>
  </si>
  <si>
    <t>10B-1</t>
  </si>
  <si>
    <t>Do you have a formal, documented visitor access policy that is shared with and enforced by all facility teams covering the following procedures:
     * How visitors are authorized before arrival
     * How their identity is verified
     * How visitor badges are issued and tracked
     * When and where staff escorts are required
If yes, please indicate where the policy is maintained, who owns it, and how you ensure all facility teams follow it.
          (Example: “Our Visitor Access Policy in the Facility Handbook is owned 
           by Security Operations and is reviewed quarterly; reception teams receive 
           annual refresher training.”)</t>
  </si>
  <si>
    <t>10B-2</t>
  </si>
  <si>
    <t>Do you grant temporary visitor credentials only after verifying identity, require visitors to be escorted in restricted areas at all times, and log every entry and exit – then review logs and investigate anomalies following your incident response procedures?
If yes, please describe how you perform identity verification, how escorts are managed, and how you review and act on the visitor logs.
          (Example: “Reception checks government IDs before badge issuance, 
           escorts are assigned via a digital escort roster, and logs are reviewed 
           monthly by the SOC for any after-hours visits.”)</t>
  </si>
  <si>
    <t>C. Physical Access Monitoring &amp; Logging</t>
  </si>
  <si>
    <t>10C-1</t>
  </si>
  <si>
    <t>Do you record every physical access event – such as badge swipes, door openings, failed entry attempts, and system console access – using electronic logs, cameras, or sensors, and review those records regularly for anomalies or suspicious activity?
If yes, please describe which systems capture these events, how often you review the logs or footage, and who is responsible for the review.
          (Example: “Our badge system logs all swipes and failed attempts; security 
           staff review daily summaries each morning.”)</t>
  </si>
  <si>
    <t>10C-2</t>
  </si>
  <si>
    <t>Do you keep physical access logs and video recordings according to your retention policy, correlate badge data with camera footage or sensor alerts, and analyze them periodically for signs of unauthorized activity?
If yes, please explain your retention periods, how you link logs to recordings, and how often you perform these correlation reviews.
          (Example: “We retain logs and video for 90 days, use our security platform to 
           match badge events with camera clips, and run monthly analytics reports.”)</t>
  </si>
  <si>
    <t>10C-3</t>
  </si>
  <si>
    <t>Are your monitoring systems set to alert on unauthorized entry attempts or policy violations – such as tailgating or badge cloning – and do you have formal incident response steps to investigate alerts, preserve evidence, and remediate any breaches?
If yes, please outline how alerts are delivered (email, SMS, dashboard), who investigates them, and what the typical remediation workflow looks like.
          (Example: “Our door controller triggers an SMS to the on-call guard on any 
           failed swipe after hours; they secure the door and open a ticket for the 
           SOC to review.”)</t>
  </si>
  <si>
    <t>D. Secure Placement &amp; Physical Safeguards</t>
  </si>
  <si>
    <t>10D-1</t>
  </si>
  <si>
    <t>Are your dispatch servers, GIS databases, network hubs, and other sensitive infrastructure located in restricted, climate-controlled rooms that match their security classification – and do you have policies that govern placement and a review schedule?
If yes, please point to the policy or layout document and indicate how frequently you verify that placement and environmental controls (temperature, humidity, access) are correct.
          (Example: “Our Data Center Standards in Confluence specify Tier-3 areas 
           for critical servers; Facilities audits placement quarterly.”)</t>
  </si>
  <si>
    <t>10D-2</t>
  </si>
  <si>
    <t>Do you secure all cabling and conduits (fiber, copper, patch panels) by enclosing them in locked racks or cable channels, clearly labeling them, and locating them in restricted zones that reflect their criticality to operations?
If yes, please describe your cable housing and labeling practices, and how often you check for tapping or unauthorized changes.
          (Example: “All backbone fibers run inside locked fiber optic trays with 
           engraved labels; we inspect monthly for tamper seals.”)</t>
  </si>
  <si>
    <t>10D-3</t>
  </si>
  <si>
    <t>When you move or deploy servers, workstations, or portable devices, do you ensure they’re only placed in areas that meet your security and environmental standards – and do you apply safeguards (such as privacy screens or docking station locks) to reduce the risk of shoulder surfing or data exposure?
If yes, please summarize your deployment checklist and identify any shoulder surfing countermeasures you use.
          (Example: “Our Device Deployment SOP requires deploying only in locked 
           racks or secured desks, and all laptops must have privacy filters when in 
           public areas.”)</t>
  </si>
  <si>
    <t>10D-4</t>
  </si>
  <si>
    <t>Do you position and protect dispatch terminals, call taker screens, and situational awareness boards – using physical barriers, privacy filters, automatic screen locks, and access controls – to prevent unauthorized viewing of sensitive information?
If yes, please describe one or two of your display protection practices and how you confirm they remain in place and operational.
          (Example: “All operator consoles have adjustable privacy filters and auto-
           lock after 30 seconds of inactivity; Facilities inspects filters monthly.”)</t>
  </si>
  <si>
    <t>E. Environmental Monitoring &amp; Facility Protections</t>
  </si>
  <si>
    <t>10E-1</t>
  </si>
  <si>
    <t>Do you conduct regular risk assessments that identify facility hazards – such as fire, flooding, extreme temperatures, utility failures, or EMP exposure – and update your risk management strategy to mitigate vulnerabilities in locations housing critical public safety systems?
If yes, please describe your assessment cadence (e.g., annually), who performs it, and how you record and act on any identified environmental risks.
          (Example: “Our annual facility risk review flags flood zones; we then add 
           elevated racks and sump pumps in low-lying data rooms.”)</t>
  </si>
  <si>
    <t>10E-2</t>
  </si>
  <si>
    <t>Are your network closets, server and data processing rooms, and other critical spaces all outfitted with temperature and humidity controls, fire suppression systems, and hazard detectors (smoke, water, power loss), with alerts configured to notify the right teams for rapid remediation?
If yes, please describe one or two of the installed controls (for example, FM-200 fire suppression or water-sensing cable) and how alerts are delivered and handled.
          (Example: “Our IDF closets use FM-200 suppression and flood-sensing 
           cable; alarms go to the NOC via paging and SMS for immediate response.”)</t>
  </si>
  <si>
    <t>10E-3</t>
  </si>
  <si>
    <t>Do you have formal procedures covering your environmental controls – HVAC, fire suppression, voltage regulation, water leak detection, and EMP shielding – complete with defined roles, sensor and alarm deployments, and proactive tuning to detect and address anomalies before they cause outages?
If yes, please point to those procedures, list the key systems monitored, and explain how you verify sensor health and alarm response.
          (Example: “Our Facility Ops Manual mandates quarterly HVAC 
           calibration, biannual fire suppression tests, and daily checks 
           of leak sensor battery status.”)</t>
  </si>
  <si>
    <t>11. Third-Party Security &amp; Supply Chain Management</t>
  </si>
  <si>
    <t>A. Third-Party &amp; Hosted Service Security</t>
  </si>
  <si>
    <t>11A-1</t>
  </si>
  <si>
    <t>Do your contracts and purchasing procedures for any hosted or externally managed systems (for example, CAD platforms, GIS services, cloud storage) include explicit security and privacy clauses covering data protection standards, inventory accuracy, change notification requirements, and breach reporting obligations?
If yes, please summarize the key contract clauses you use (for example, “Must encrypt data at rest to AES-256”) and explain how you verify supplier compliance.
          (Example: “All vendors must adhere to our Data Handling Addendum, 
           require annual SOC 2 reports, and notify us of any changes within 5 
           business days.”)</t>
  </si>
  <si>
    <t>11A-2</t>
  </si>
  <si>
    <t>Do you evaluate, continuously monitor, and mitigate risks from any third-party or cloud providers – such as your CAD vendor, GIS host, voice over IP (VoIP) service, or external storage partner – through formal agreements and ongoing threat detection measures?
If yes, please describe your assessment process (e.g., risk questionnaires or security audits), the tools or methods you use for continuous monitoring, and one example of a mitigation control.
          (Example: “We conduct annual vendor security reviews and use a cloud 
           security posture tool to flag misconfigurations; we require our voice 
           provider to implement DDoS protection.”)</t>
  </si>
  <si>
    <t>B. Third-Party Asset Inventory</t>
  </si>
  <si>
    <t>11B-1</t>
  </si>
  <si>
    <t>Do you maintain a single, comprehensive inventory that lists all externally-managed systems – such as hosted CAD platforms, cloud-based GIS services, voice and telephony providers, and other vendor-managed components – to ensure you have full visibility into these assets?
If yes, please describe where this inventory is kept, how you integrate updates from your vendors, and how often you reconcile it against your active service inventory.
          (Example: “We publish our complete asset register in ServiceNow, and 
           every quarter our vendor-management team runs a report to verify that 
           hosted services match documented inventory records.”)</t>
  </si>
  <si>
    <t>C. Personnel Screening &amp; Vetting</t>
  </si>
  <si>
    <t>11C-1</t>
  </si>
  <si>
    <t>Do you require background checks, security vetting, and training in the handling of classified or sensitive information for every person – employees, vendors, consultants, and contractors – before granting them access to ECC and NG9-1-1 systems?
If yes, please describe your screening and vetting process (including the types of checks performed), and note how you track and enforce completion before access is granted.
          (Example: “All staff and contractors undergo a criminal history check, 
           identity verification, and a one-hour classified data-handling briefing; 
           HR gates system access until their vetting is logged in our IAM system.”)</t>
  </si>
  <si>
    <t>D. Procurement, Delivery &amp; Supply Validation</t>
  </si>
  <si>
    <t>11D-1</t>
  </si>
  <si>
    <t>Do your procurement and acquisition policies require assessing each supplier’s security posture, potential threat vectors, and integration risks before you approve any new systems, software, or hardware?
If yes, please point to where that policy lives and summarize the key evaluation steps (e.g., vendor questionnaires, security audits, or integration-risk reviews).
          (Example: “Our Procurement Policy in the Policy Manual mandates a 
           security risk questionnaire and a third-party SOC 2 report review 
           before contract award.”)</t>
  </si>
  <si>
    <t>11D-2</t>
  </si>
  <si>
    <t>Do you enforce documented chain-of-custody procedures for all incoming and outgoing shipments of critical equipment – ensuring accountability, screening, approval, and secure handling by authorized personnel at every stage?
If yes, please describe where those procedures are documented and outline how custody is tracked (e.g., signed hand-off logs or scanned barcode receipts).
           (Example: “Our Asset Management SOP in SharePoint requires dual 
            signatures for receipt and dispatch, with barcode scans recorded in 
            ServiceNow.”)</t>
  </si>
  <si>
    <t>11D-3</t>
  </si>
  <si>
    <t>Do you subject all delivered software patches, updates, and executable files to enhanced validation – such as digital signature checks, integrity hashes, or sandbox testing – before installing them in mission-critical environments?
If yes, please explain your validation process (tools or steps) and note where the procedure is documented.
          (Example: “Our Change-Control Guide requires file-hash verification and a 
           sandbox test cycle in our lab before any update reaches production.”)</t>
  </si>
  <si>
    <t>12. Assessment, Testing, &amp; Remediation Management</t>
  </si>
  <si>
    <t>A. Security Assessment &amp; Vulnerability Management</t>
  </si>
  <si>
    <t>12A-1</t>
  </si>
  <si>
    <t>Do you run automated vulnerability scans on all software, hardware, and network components on a regular basis, and feed the findings into your risk assessment process to prioritize and track patching or configuration fixes?
If yes, please list the scanning tools you use, how often scans run, and describe how scan results are triaged and remediated.
          (Example: “Nessus scans weekly; high-risk findings generate tickets 
           automatically and are due within 7 days, with status reported to our 
           Risk Committee monthly.”)</t>
  </si>
  <si>
    <t>12A-2</t>
  </si>
  <si>
    <t>Do you perform scheduled security reviews of all public safety systems – such as CAD, dispatch consoles, and call-handling platforms – to test whether controls are working, and do system owners and an independent assessor review the scope, methods, and findings?
If yes, please summarize your assessment schedule (e.g., an annual penetration test and quarterly control audits), name the teams or vendors involved, and explain how results are shared and acted upon.
          (Example: “We do annual external pen tests and quarterly internal control 
           checks; reports go to IT leadership and our contracted assessor, with 
           remediation tracked in Jira.”)</t>
  </si>
  <si>
    <t>12A-3</t>
  </si>
  <si>
    <t>Do you have documented policies and procedures that require a security assessment – including an evaluation of cryptographic controls – before any major system deployment or significant change, with the assessment’s scope and depth determined by a formal risk review?
If yes, please point to where these policies live, describe how you select assessment activities based on risk, and name who must approve the assessment before deployment.
          (Example: “Our Secure Deployment Standard in Confluence mandates a 
           crypto-capability scan and threat-model workshop for any new CAD rollout; 
           the CISO must sign off on the assessment plan.”)</t>
  </si>
  <si>
    <t>12A-4</t>
  </si>
  <si>
    <t>Do you keep all audit logs and assessment deliverables (reports, scan outputs, remediation records) for the retention period defined in your policy – protecting them from unauthorized change or deletion – and integrate them into workflows such as incident response, compliance audits, and risk reviews?
If yes, please indicate your retention periods, where these records are stored, and how they feed into your broader security and compliance processes.
          (Example: “We retain logs and assessment reports for 3 years in an 
           immutable archive; they’re automatically linked to incidents and 
           compliance dashboards.”)</t>
  </si>
  <si>
    <t>B. Issue Tracking &amp; Risk Response</t>
  </si>
  <si>
    <t>12B-1</t>
  </si>
  <si>
    <t>Do you formally use the outcomes of your risk assessments to decide how to treat each risk – documenting which controls or actions you’ll implement – and prioritize those treatments based on their potential impact on life safety and emergency service continuity?
If yes, please describe where you record those decisions (e.g., in a risk register) and how you rank or score each treatment based on life-safety or service-continuity impact.
          (Example: “Our risk register in ServiceNow captures each risk and its 
           selected mitigation; we assign a ‘Continuity Critical’ tag to anything 
           affecting 9-1-1 uptime.”)</t>
  </si>
  <si>
    <t>12B-2</t>
  </si>
  <si>
    <t>Do you maintain a formal plan of action and milestones (POA&amp;M) – or similar issue-tracking workflow – to log security findings, assign each a clear owner and deadline, and monitor progress until every item is closed out?
If yes, please name the tool or process you use, and explain how you ensure every finding has an owner, a due date, and status updates.
          (Example: “We track all findings in our GRC platform; each ticket must 
           list an owner, a target remediation date, and weekly status comments 
           until resolution.”)</t>
  </si>
  <si>
    <t>13. Training, Awareness &amp; Behavioral Governance</t>
  </si>
  <si>
    <t>A. Cybersecurity Training &amp; Competency</t>
  </si>
  <si>
    <t>13A-1</t>
  </si>
  <si>
    <t>Do you mandate cybersecurity training tailored to each person’s role – whether technical staff, dispatch operators, or administrative personnel – and track completion against leadership-set targets?
If yes, please describe how you assign role-based courses, track completion, and report progress to leadership.
          (Example: “Our LMS enrolls all network engineers in a secure-config 
           course and all call-takers in phishing awareness; completion is reported 
           monthly to the CIO.”)</t>
  </si>
  <si>
    <t>13A-2</t>
  </si>
  <si>
    <t>Do your training programs include phishing prevention, proper data-handling practices, strong password hygiene, and clear instructions on when and how to report suspicious emails or security incidents?
If yes, please list the main topics you teach and explain how you ensure everyone knows the reporting process.
          (Example: “Our annual training covers spear-phish spotting, encryption 
           basics, and has a ‘Report It’ button demo that all staff must use in a 
           phishing drill.”)</t>
  </si>
  <si>
    <t>13A-3</t>
  </si>
  <si>
    <t>Do you review and refresh your cybersecurity training policies and materials on a regular schedule to address emerging threats and new technologies in the 9-1-1 environment?
If yes, please share your update cadence (e.g., biannual) and one recent topic you added or revised.
          (Example: “We update materials every six months; last cycle added 
           mobile-device security best practices.”)</t>
  </si>
  <si>
    <t>13A-4</t>
  </si>
  <si>
    <t>Do you train staff on physical-security behaviors – like preventing tailgating and safeguarding badges or credentials – and require formal acknowledgment or refresher drills for anyone working in secure areas?
If yes, please explain how you deliver these reminders (e.g., annual drills, signed acknowledgments) and how you verify compliance.
          (Example: “All secure-area staff sign a quarterly ‘Perimeter Pledge’ and 
           participate in a surprise badge-tailgate drill.”)</t>
  </si>
  <si>
    <t>13A-5</t>
  </si>
  <si>
    <t>Do you provide specialized training tracks, certification sponsorships, or continuing education opportunities for your technical personnel to build and maintain advanced cybersecurity skills?
If yes, please describe one development program or certification you actively support and how staff enroll.
          (Example: “We reimburse and schedule CISSP prep for our SOC analysts and 
           run weekly study-group sessions.”)</t>
  </si>
  <si>
    <t>B. Role-Specific Training &amp; Handling Responsibilities</t>
  </si>
  <si>
    <t>13B-1</t>
  </si>
  <si>
    <t>Do you mandate specialized training for every technical and security-sensitive role – covering topics like secure system configuration, vulnerability management, incident response, and data-classification handling – and track course completion and refresh content on a defined schedule?
If yes, please describe how you assign these courses by role, where you track completions, and how often you refresh the material.
          (Example: “Network engineers take our quarterly Secure Config course; 
           completions are logged in the LMS and updated annually.”)</t>
  </si>
  <si>
    <t>13B-2</t>
  </si>
  <si>
    <t>Do you require anyone who handles or transports sensitive electronic media (USB drives, backup tapes, devices) to sign a media-handling agreement, complete training on secure transport and disposal procedures, and acknowledge responsibility for protecting the media?
If yes, please point to the agreement and training module, and explain how you ensure each person completes and acknowledges it before handling media.
          (Example: “All new hires sign the Media Protection Policy and complete the 
           Secure Transport course; HR blocks badge access until both are done.”)</t>
  </si>
  <si>
    <t>13B-3</t>
  </si>
  <si>
    <t>Do you train staff on physical and visual safeguards for sensitive information – such as locking their screens when idle, using privacy filters to prevent shoulder-surfing, and securely displaying or transmitting personally identifiable information (PII) or multimedia content?
If yes, please describe the training format (e.g., in-person demo, e-learning module) and how you verify staff follow these behaviors in daily operations.
          (Example: “We run an annual ‘Clean Desk &amp; Screen’ workshop and conduct 
           monthly spot checks to ensure privacy filters are in place.”)</t>
  </si>
  <si>
    <t>C. User Conduct Policies &amp; Acknowledgements</t>
  </si>
  <si>
    <t>13C-1</t>
  </si>
  <si>
    <t>Must every user – employees, contractors, and vendors – sign and acknowledge a behavior-expectation agreement covering logoff practices, credential protection, restrictions on personal device use, and handling sensitive data before they can access any system?
If yes, please describe where that agreement is stored, how users sign it (paper or electronically), and how you prevent access until it’s complete.
          (Example: “All new hires e-sign our Acceptable Use Policy in the onboarding 
           portal; IT enables accounts only after HR confirms completion.”)</t>
  </si>
  <si>
    <t>13C-2</t>
  </si>
  <si>
    <t>Do you embed key behavior rules – including acceptable-use limits, restrictions on personal/business crossover, and data-handling expectations – into your onboarding, training, and reminders to keep everyone up to date?
If yes, please outline how you introduce these policies during onboarding, which training covers them, and how you send follow-up reminders.
          (Example: “We cover device-use rules in new-hire orientation, revisit 
           them in our quarterly security refresher, and email monthly ‘Tip of the 
           Month’ reminders.”)</t>
  </si>
  <si>
    <t>13C-3</t>
  </si>
  <si>
    <t>Are all login screens and system banners configured to display rules of behavior, notify users of monitoring, and require explicit consent (e.g., clicking ‘I Agree’) before granting access?
If yes, please describe the standard banner text or notice you use, where it’s applied (VPN, desktops, applications), and how you verify users interact with it.
          (Example: “Our banner reads ‘Unauthorized use prohibited – activity 
           monitored’ and requires an ‘Accept’ click on all remote-access portals; 
           logs track banner confirmations.”)</t>
  </si>
  <si>
    <t># of Questions</t>
  </si>
  <si>
    <t>Not Applicable</t>
  </si>
  <si>
    <t>Unknown</t>
  </si>
  <si>
    <t>No (0)</t>
  </si>
  <si>
    <t>Planned (1)</t>
  </si>
  <si>
    <t>In Progress (2)</t>
  </si>
  <si>
    <t>Yes (3)</t>
  </si>
  <si>
    <t>Total</t>
  </si>
  <si>
    <t xml:space="preserve">out of </t>
  </si>
  <si>
    <t>Possible</t>
  </si>
  <si>
    <t>Overall Total</t>
  </si>
  <si>
    <t>of</t>
  </si>
  <si>
    <t>Governance,
Risk &amp; Strategy</t>
  </si>
  <si>
    <t>Executive Leadership &amp; Resource Allocation</t>
  </si>
  <si>
    <t>Policy &amp; Asset Inventory Management</t>
  </si>
  <si>
    <t>Role Definition &amp; Governance Oversight</t>
  </si>
  <si>
    <t>Risk Assessment &amp; Management Strategy</t>
  </si>
  <si>
    <t>Domain Total</t>
  </si>
  <si>
    <t>Identity, Authentication &amp;
Access Management</t>
  </si>
  <si>
    <t>Access Control Governance &amp; Management</t>
  </si>
  <si>
    <t>Account &amp; Credential Lifecycle Management</t>
  </si>
  <si>
    <t>Authentication &amp; Credential Governance</t>
  </si>
  <si>
    <t>Authorization &amp; Least Privilege Enforcement</t>
  </si>
  <si>
    <t>Privileged Access Governance &amp; Monitoring</t>
  </si>
  <si>
    <t>Session Management &amp; Monitoring</t>
  </si>
  <si>
    <t>Data Security &amp; Lifecycle
Management</t>
  </si>
  <si>
    <t>Data Classification &amp; Labeling</t>
  </si>
  <si>
    <t>Data Protection &amp; Lifecycle Management</t>
  </si>
  <si>
    <t>Data Access Monitoring &amp; Disclosure Management</t>
  </si>
  <si>
    <t>Network &amp;
Communications
Governance</t>
  </si>
  <si>
    <t>Network Infrastructure &amp; Boundary Controls</t>
  </si>
  <si>
    <t>Network Traffic &amp; Threat Controls</t>
  </si>
  <si>
    <t>DNS Governance &amp; Security Controls</t>
  </si>
  <si>
    <t>Email System Security &amp; Threat Protection</t>
  </si>
  <si>
    <t>Wireless &amp; Cellular Communications Security</t>
  </si>
  <si>
    <t>Device &amp; Remote Connectivity Controls</t>
  </si>
  <si>
    <t>Endpoint Security &amp;
Configuration
Management</t>
  </si>
  <si>
    <t>Baseline Configuration &amp; Asset Management</t>
  </si>
  <si>
    <t>Service &amp; Endpoint Hardening Controls</t>
  </si>
  <si>
    <t>Configuration, Change &amp; Patch Management</t>
  </si>
  <si>
    <t>Endpoint &amp; Remote Device Security</t>
  </si>
  <si>
    <t>Cryptography, Encryption &amp; Key Management Governance</t>
  </si>
  <si>
    <t>Encryption &amp; Cryptography Governance</t>
  </si>
  <si>
    <t>PKI &amp; Certificate Management</t>
  </si>
  <si>
    <t>Cryptographic Key Governance &amp; Availability</t>
  </si>
  <si>
    <t>Logging, Monitoring &amp; 
Event Detection</t>
  </si>
  <si>
    <t>Logging Policy, Content &amp; Review</t>
  </si>
  <si>
    <t>Continuous Monitoring &amp; Threat Detection</t>
  </si>
  <si>
    <t>Security Event Review &amp; Detection</t>
  </si>
  <si>
    <t>Time Synchronization &amp; Log Integrity</t>
  </si>
  <si>
    <t>Response,
Recovery &amp; 
Forensic
Readiness</t>
  </si>
  <si>
    <t>Incident Response Planning &amp; Procedures</t>
  </si>
  <si>
    <t>Incident Response Execution &amp; Resilience</t>
  </si>
  <si>
    <t>Forensic Readiness &amp; Evidence Management</t>
  </si>
  <si>
    <t>Business Continuity &amp; Environmental Resilience</t>
  </si>
  <si>
    <t>Continuity Planning &amp; Recovery</t>
  </si>
  <si>
    <t>Backup &amp; Restoration Management</t>
  </si>
  <si>
    <t>Redundancy, Recovery &amp; Resilience</t>
  </si>
  <si>
    <t>Power &amp; Environmental Resilience</t>
  </si>
  <si>
    <t>Physical &amp; Environmental Security Management</t>
  </si>
  <si>
    <t>Facility Access Control &amp; Perimeter Security</t>
  </si>
  <si>
    <t>Visitor Management</t>
  </si>
  <si>
    <t>Physical Access Monitoring &amp; Logging</t>
  </si>
  <si>
    <t>Secure Placement &amp; Physical Safeguards</t>
  </si>
  <si>
    <t>Environmental Monitoring &amp; Facility Protections</t>
  </si>
  <si>
    <t>Third-Party Security &amp; Supply Chain Management</t>
  </si>
  <si>
    <t>Third-Party &amp; Hosted Service Security</t>
  </si>
  <si>
    <t>Third-Party Asset Inventory</t>
  </si>
  <si>
    <t>Personnel Screening &amp; Vetting</t>
  </si>
  <si>
    <t>Procurement, Delivery &amp; Supply Validation</t>
  </si>
  <si>
    <t>Assessment, Testing &amp; Remediation Management</t>
  </si>
  <si>
    <t>Security Assessment &amp; Vulnerability Management</t>
  </si>
  <si>
    <t>Issue Tracking &amp; Risk Response</t>
  </si>
  <si>
    <t>Training, Awareness &amp; Behavioral Governance</t>
  </si>
  <si>
    <t>Cybersecurity Training &amp; Compliance</t>
  </si>
  <si>
    <t>Role-Specific Training &amp; Handling Responsibilities</t>
  </si>
  <si>
    <t>User Conduct Policies &amp; Acknowledgements</t>
  </si>
  <si>
    <t>Domain</t>
  </si>
  <si>
    <t>No</t>
  </si>
  <si>
    <t>Planned</t>
  </si>
  <si>
    <t>In Progress</t>
  </si>
  <si>
    <t>Yes</t>
  </si>
  <si>
    <t>Points</t>
  </si>
  <si>
    <t>of possible</t>
  </si>
  <si>
    <t>TOTAL</t>
  </si>
  <si>
    <t>Governance, Risk &amp; Strategy</t>
  </si>
  <si>
    <t>Identity, Authentication &amp; Access Management</t>
  </si>
  <si>
    <t>Data Security &amp; Lifecycle Management</t>
  </si>
  <si>
    <t>Network &amp; Communications Governance</t>
  </si>
  <si>
    <t>Endpoint Security &amp; Configuration Management</t>
  </si>
  <si>
    <t>Logging, Monitoring &amp; Event Detection</t>
  </si>
  <si>
    <t>Response, Recovery &amp; Forensic Readiness</t>
  </si>
  <si>
    <t>OVERALL</t>
  </si>
  <si>
    <t xml:space="preserve">- SELECT RATING - </t>
  </si>
  <si>
    <t>('Question Set'!$G</t>
  </si>
  <si>
    <t>Ranges:</t>
  </si>
  <si>
    <t>2-25</t>
  </si>
  <si>
    <t>4-6</t>
  </si>
  <si>
    <t>9-11</t>
  </si>
  <si>
    <t>14-18</t>
  </si>
  <si>
    <t>-</t>
  </si>
  <si>
    <t>21-25</t>
  </si>
  <si>
    <t>27-68</t>
  </si>
  <si>
    <t>29-34</t>
  </si>
  <si>
    <t>37-41</t>
  </si>
  <si>
    <t>44-48</t>
  </si>
  <si>
    <t>51-54</t>
  </si>
  <si>
    <t>57-61</t>
  </si>
  <si>
    <t>E-J</t>
  </si>
  <si>
    <t>Percent</t>
  </si>
  <si>
    <t>64-68</t>
  </si>
  <si>
    <t>70-87</t>
  </si>
  <si>
    <t>72-74</t>
  </si>
  <si>
    <t>77-82</t>
  </si>
  <si>
    <t>85-87</t>
  </si>
  <si>
    <t>89-129</t>
  </si>
  <si>
    <t>91-95</t>
  </si>
  <si>
    <t>98-102</t>
  </si>
  <si>
    <t>105-110</t>
  </si>
  <si>
    <t>113-116</t>
  </si>
  <si>
    <t>119-123</t>
  </si>
  <si>
    <t>126-129</t>
  </si>
  <si>
    <t>131-157</t>
  </si>
  <si>
    <t>133-137</t>
  </si>
  <si>
    <t>140-144</t>
  </si>
  <si>
    <t>147-151</t>
  </si>
  <si>
    <t>154-157</t>
  </si>
  <si>
    <t>159-174</t>
  </si>
  <si>
    <t>161-163</t>
  </si>
  <si>
    <t>166-168</t>
  </si>
  <si>
    <t>171-174</t>
  </si>
  <si>
    <t>176-198</t>
  </si>
  <si>
    <t>178-181</t>
  </si>
  <si>
    <t>184-188</t>
  </si>
  <si>
    <t>191-194</t>
  </si>
  <si>
    <t>197-198</t>
  </si>
  <si>
    <t>200-215</t>
  </si>
  <si>
    <t>202-203</t>
  </si>
  <si>
    <t>206-209</t>
  </si>
  <si>
    <t>212-215</t>
  </si>
  <si>
    <t>217-239</t>
  </si>
  <si>
    <t>A. Cotinuity Planning &amp; Recovery</t>
  </si>
  <si>
    <t>219-222</t>
  </si>
  <si>
    <t>225-228</t>
  </si>
  <si>
    <t>231-234</t>
  </si>
  <si>
    <t>237-239</t>
  </si>
  <si>
    <t xml:space="preserve">10. Physical &amp; Environmental Security </t>
  </si>
  <si>
    <t>241-268</t>
  </si>
  <si>
    <t>243-248</t>
  </si>
  <si>
    <t>251-252</t>
  </si>
  <si>
    <t>255-257</t>
  </si>
  <si>
    <t>260-263</t>
  </si>
  <si>
    <t>266-268</t>
  </si>
  <si>
    <t>270-284</t>
  </si>
  <si>
    <t>272-273</t>
  </si>
  <si>
    <t>276</t>
  </si>
  <si>
    <t>279</t>
  </si>
  <si>
    <t>282-284</t>
  </si>
  <si>
    <t>286-295</t>
  </si>
  <si>
    <t>288-291</t>
  </si>
  <si>
    <t>294-295</t>
  </si>
  <si>
    <t>297-313</t>
  </si>
  <si>
    <t>299-303</t>
  </si>
  <si>
    <t>306-308</t>
  </si>
  <si>
    <t>311-313</t>
  </si>
  <si>
    <t>A. Data Classification &amp; Labeling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</si>
</sst>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family val="2"/>
    </font>
    <font>
      <b/>
      <sz val="16"/>
      <color theme="1"/>
      <name val="Aptos"/>
    </font>
    <font>
      <b/>
      <sz val="14"/>
      <color theme="1"/>
      <name val="Aptos"/>
    </font>
    <font>
      <i/>
      <sz val="12"/>
      <color theme="1"/>
      <name val="Aptos"/>
    </font>
    <font>
      <b/>
      <sz val="12"/>
      <color theme="1"/>
      <name val="Aptos"/>
    </font>
    <font>
      <sz val="10"/>
      <color theme="1"/>
      <name val="Aptos"/>
      <family val="2"/>
    </font>
    <font>
      <sz val="12"/>
      <color theme="1"/>
      <name val="Aptos"/>
      <family val="2"/>
    </font>
    <font>
      <sz val="18"/>
      <color theme="1"/>
      <name val="Aptos"/>
      <family val="2"/>
    </font>
    <font>
      <sz val="16"/>
      <color theme="1"/>
      <name val="Aptos"/>
      <family val="2"/>
    </font>
  </fonts>
  <fills count="8">
    <fill>
      <patternFill patternType="none"/>
    </fill>
    <fill>
      <patternFill patternType="gray125"/>
    </fill>
    <fill>
      <patternFill patternType="solid">
        <fgColor theme="0" tint="-0.249977111117893"/>
        <bgColor indexed="64"/>
      </patternFill>
    </fill>
    <fill>
      <patternFill patternType="solid">
        <fgColor rgb="FF00B0F0"/>
        <bgColor indexed="64"/>
      </patternFill>
    </fill>
    <fill>
      <patternFill patternType="solid">
        <fgColor rgb="FF92D050"/>
        <bgColor indexed="64"/>
      </patternFill>
    </fill>
    <fill>
      <patternFill patternType="solid">
        <fgColor theme="6" tint="0.79998168889431442"/>
        <bgColor indexed="64"/>
      </patternFill>
    </fill>
    <fill>
      <patternFill patternType="solid">
        <fgColor theme="1"/>
        <bgColor indexed="64"/>
      </patternFill>
    </fill>
    <fill>
      <patternFill patternType="solid">
        <fgColor rgb="FFFFFF00"/>
        <bgColor indexed="64"/>
      </patternFill>
    </fill>
  </fills>
  <borders count="38">
    <border>
      <left/>
      <right/>
      <top/>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right/>
      <top/>
      <bottom style="thin">
        <color indexed="64"/>
      </bottom>
      <diagonal/>
    </border>
    <border>
      <left/>
      <right/>
      <top style="thin">
        <color indexed="64"/>
      </top>
      <bottom style="thin">
        <color indexed="64"/>
      </bottom>
      <diagonal/>
    </border>
    <border>
      <left style="thick">
        <color auto="1"/>
      </left>
      <right style="thick">
        <color auto="1"/>
      </right>
      <top style="thick">
        <color auto="1"/>
      </top>
      <bottom style="thick">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ck">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ck">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top style="thin">
        <color auto="1"/>
      </top>
      <bottom/>
      <diagonal/>
    </border>
    <border>
      <left/>
      <right/>
      <top style="thin">
        <color indexed="64"/>
      </top>
      <bottom/>
      <diagonal/>
    </border>
    <border>
      <left/>
      <right style="thick">
        <color auto="1"/>
      </right>
      <top style="thin">
        <color auto="1"/>
      </top>
      <bottom/>
      <diagonal/>
    </border>
    <border>
      <left style="thick">
        <color auto="1"/>
      </left>
      <right/>
      <top/>
      <bottom style="thin">
        <color auto="1"/>
      </bottom>
      <diagonal/>
    </border>
    <border>
      <left/>
      <right style="thick">
        <color auto="1"/>
      </right>
      <top/>
      <bottom style="thin">
        <color auto="1"/>
      </bottom>
      <diagonal/>
    </border>
    <border>
      <left/>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s>
  <cellStyleXfs count="2">
    <xf numFmtId="0" fontId="0" fillId="0" borderId="0"/>
    <xf numFmtId="9" fontId="6" fillId="0" borderId="0"/>
  </cellStyleXfs>
  <cellXfs count="109">
    <xf numFmtId="0" fontId="0" fillId="0" borderId="0" xfId="0"/>
    <xf numFmtId="49" fontId="0" fillId="0" borderId="1" xfId="0" applyNumberFormat="1" applyBorder="1" applyAlignment="1">
      <alignment horizontal="left" textRotation="45" wrapText="1"/>
    </xf>
    <xf numFmtId="0" fontId="0" fillId="0" borderId="0" xfId="0" applyAlignment="1">
      <alignment textRotation="45"/>
    </xf>
    <xf numFmtId="0" fontId="0" fillId="0" borderId="0" xfId="0" applyAlignment="1">
      <alignment horizontal="center" textRotation="45"/>
    </xf>
    <xf numFmtId="49" fontId="0" fillId="0" borderId="2" xfId="0" applyNumberFormat="1" applyBorder="1" applyAlignment="1">
      <alignment horizontal="center" vertical="center" textRotation="45"/>
    </xf>
    <xf numFmtId="0" fontId="0" fillId="0" borderId="0" xfId="0" applyAlignment="1">
      <alignment textRotation="45" wrapText="1"/>
    </xf>
    <xf numFmtId="0" fontId="0" fillId="0" borderId="3" xfId="0" applyBorder="1" applyAlignment="1">
      <alignment textRotation="45" wrapText="1"/>
    </xf>
    <xf numFmtId="49" fontId="0" fillId="0" borderId="0" xfId="0" applyNumberFormat="1" applyAlignment="1">
      <alignment horizontal="center" vertical="center"/>
    </xf>
    <xf numFmtId="0" fontId="1" fillId="0" borderId="0" xfId="0" applyFont="1"/>
    <xf numFmtId="0" fontId="0" fillId="0" borderId="0" xfId="0" applyAlignment="1">
      <alignment wrapText="1"/>
    </xf>
    <xf numFmtId="0" fontId="2" fillId="0" borderId="0" xfId="0" applyFont="1"/>
    <xf numFmtId="49" fontId="2" fillId="0" borderId="0" xfId="0" applyNumberFormat="1" applyFont="1" applyAlignment="1">
      <alignment horizontal="center" vertical="center"/>
    </xf>
    <xf numFmtId="49" fontId="0" fillId="0" borderId="4" xfId="0" applyNumberFormat="1" applyBorder="1" applyAlignment="1">
      <alignment horizontal="center" vertical="center"/>
    </xf>
    <xf numFmtId="0" fontId="0" fillId="0" borderId="4" xfId="0" applyBorder="1"/>
    <xf numFmtId="0" fontId="0" fillId="0" borderId="4" xfId="0" applyBorder="1" applyAlignment="1">
      <alignment wrapText="1"/>
    </xf>
    <xf numFmtId="49" fontId="0" fillId="0" borderId="5" xfId="0" applyNumberFormat="1" applyBorder="1" applyAlignment="1">
      <alignment horizontal="center" vertical="center"/>
    </xf>
    <xf numFmtId="0" fontId="0" fillId="0" borderId="5" xfId="0" applyBorder="1"/>
    <xf numFmtId="0" fontId="0" fillId="0" borderId="5" xfId="0" applyBorder="1" applyAlignment="1">
      <alignment wrapText="1"/>
    </xf>
    <xf numFmtId="0" fontId="0" fillId="0" borderId="0" xfId="0" quotePrefix="1"/>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4" fillId="0" borderId="0" xfId="0" applyFont="1" applyAlignment="1">
      <alignment horizontal="right" vertical="center"/>
    </xf>
    <xf numFmtId="0" fontId="4" fillId="0" borderId="0" xfId="0" applyFont="1" applyAlignment="1">
      <alignment vertical="center"/>
    </xf>
    <xf numFmtId="0" fontId="5" fillId="0" borderId="0" xfId="0" applyFont="1" applyAlignment="1">
      <alignment horizontal="center"/>
    </xf>
    <xf numFmtId="0" fontId="0" fillId="0" borderId="18" xfId="0" applyBorder="1" applyAlignment="1">
      <alignment horizontal="center" vertical="center"/>
    </xf>
    <xf numFmtId="0" fontId="0" fillId="0" borderId="20" xfId="0" applyBorder="1" applyAlignment="1">
      <alignment horizontal="center" vertical="center"/>
    </xf>
    <xf numFmtId="0" fontId="0" fillId="0" borderId="32" xfId="0" applyBorder="1" applyAlignment="1">
      <alignment horizontal="center" vertical="center"/>
    </xf>
    <xf numFmtId="0" fontId="0" fillId="0" borderId="34" xfId="0" applyBorder="1" applyAlignment="1">
      <alignment horizontal="center" vertical="center"/>
    </xf>
    <xf numFmtId="0" fontId="0" fillId="0" borderId="17" xfId="0" applyBorder="1" applyAlignment="1">
      <alignment vertical="center"/>
    </xf>
    <xf numFmtId="0" fontId="0" fillId="0" borderId="5" xfId="0" applyBorder="1" applyAlignment="1">
      <alignment vertical="center"/>
    </xf>
    <xf numFmtId="0" fontId="0" fillId="0" borderId="31" xfId="0" applyBorder="1" applyAlignment="1">
      <alignment vertical="center"/>
    </xf>
    <xf numFmtId="0" fontId="4" fillId="0" borderId="22" xfId="0" applyFont="1" applyBorder="1" applyAlignment="1">
      <alignment horizontal="right" vertical="center"/>
    </xf>
    <xf numFmtId="0" fontId="0" fillId="0" borderId="4" xfId="0" applyBorder="1" applyAlignment="1">
      <alignment vertical="center"/>
    </xf>
    <xf numFmtId="0" fontId="4" fillId="0" borderId="0" xfId="0" applyFont="1" applyAlignment="1">
      <alignment horizontal="center" vertical="center"/>
    </xf>
    <xf numFmtId="0" fontId="0" fillId="3" borderId="0" xfId="0" applyFill="1" applyAlignment="1">
      <alignment horizontal="center" vertical="center"/>
    </xf>
    <xf numFmtId="0" fontId="4" fillId="0" borderId="0" xfId="0" quotePrefix="1" applyFont="1"/>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10" fontId="0" fillId="0" borderId="0" xfId="0" applyNumberFormat="1"/>
    <xf numFmtId="0" fontId="0" fillId="0" borderId="4"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0" xfId="0" applyAlignment="1">
      <alignment horizontal="center"/>
    </xf>
    <xf numFmtId="0" fontId="0" fillId="0" borderId="0" xfId="0" quotePrefix="1" applyAlignment="1">
      <alignment horizontal="center"/>
    </xf>
    <xf numFmtId="0" fontId="4" fillId="2" borderId="23"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22" xfId="0" applyFont="1" applyFill="1" applyBorder="1" applyAlignment="1">
      <alignment horizontal="center" vertical="center"/>
    </xf>
    <xf numFmtId="0" fontId="4" fillId="2" borderId="10" xfId="0" applyFont="1" applyFill="1" applyBorder="1" applyAlignment="1">
      <alignment horizontal="center" vertical="center"/>
    </xf>
    <xf numFmtId="0" fontId="2" fillId="0" borderId="0" xfId="0" applyFont="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1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0" fillId="0" borderId="0" xfId="0" applyAlignment="1">
      <alignment horizontal="right"/>
    </xf>
    <xf numFmtId="0" fontId="4" fillId="0" borderId="0" xfId="0" applyFont="1" applyAlignment="1">
      <alignment horizontal="right"/>
    </xf>
    <xf numFmtId="9" fontId="0" fillId="0" borderId="0" xfId="1" applyFont="1" applyAlignment="1">
      <alignment horizontal="left"/>
    </xf>
    <xf numFmtId="0" fontId="0" fillId="5" borderId="4" xfId="0" applyFill="1" applyBorder="1"/>
    <xf numFmtId="0" fontId="0" fillId="5" borderId="5" xfId="0" applyFill="1" applyBorder="1"/>
    <xf numFmtId="0" fontId="4" fillId="0" borderId="0" xfId="0" applyFont="1" applyAlignment="1">
      <alignment horizontal="center"/>
    </xf>
    <xf numFmtId="0" fontId="0" fillId="0" borderId="0" xfId="0" applyAlignment="1">
      <alignment horizontal="right" vertical="center"/>
    </xf>
    <xf numFmtId="0" fontId="0" fillId="0" borderId="4" xfId="0" applyBorder="1" applyAlignment="1" applyProtection="1">
      <alignment wrapText="1"/>
      <protection locked="0"/>
    </xf>
    <xf numFmtId="0" fontId="0" fillId="0" borderId="5" xfId="0" applyBorder="1" applyAlignment="1" applyProtection="1">
      <alignment wrapText="1"/>
      <protection locked="0"/>
    </xf>
    <xf numFmtId="49" fontId="0" fillId="0" borderId="4" xfId="0" quotePrefix="1" applyNumberFormat="1" applyBorder="1" applyAlignment="1">
      <alignment horizontal="center" vertical="center"/>
    </xf>
    <xf numFmtId="49" fontId="0" fillId="0" borderId="5" xfId="0" quotePrefix="1" applyNumberFormat="1" applyBorder="1" applyAlignment="1">
      <alignment horizontal="center" vertical="center"/>
    </xf>
    <xf numFmtId="0" fontId="0" fillId="5" borderId="4" xfId="0" applyFill="1" applyBorder="1" applyAlignment="1">
      <alignment wrapText="1"/>
    </xf>
    <xf numFmtId="0" fontId="0" fillId="5" borderId="5" xfId="0" applyFill="1" applyBorder="1" applyAlignment="1">
      <alignment wrapText="1"/>
    </xf>
    <xf numFmtId="14" fontId="0" fillId="5" borderId="29" xfId="0" applyNumberFormat="1" applyFill="1" applyBorder="1" applyAlignment="1">
      <alignment horizontal="center" vertical="center" wrapText="1"/>
    </xf>
    <xf numFmtId="14" fontId="0" fillId="5" borderId="15" xfId="0" applyNumberFormat="1" applyFill="1" applyBorder="1" applyAlignment="1">
      <alignment horizontal="center" vertical="center" wrapText="1"/>
    </xf>
    <xf numFmtId="14" fontId="0" fillId="5" borderId="4" xfId="0" applyNumberFormat="1" applyFill="1" applyBorder="1" applyAlignment="1">
      <alignment horizontal="center"/>
    </xf>
    <xf numFmtId="14" fontId="0" fillId="5" borderId="5" xfId="0" applyNumberFormat="1" applyFill="1" applyBorder="1" applyAlignment="1">
      <alignment horizontal="center"/>
    </xf>
    <xf numFmtId="0" fontId="0" fillId="0" borderId="4" xfId="0" quotePrefix="1" applyBorder="1" applyAlignment="1" applyProtection="1">
      <alignment wrapText="1"/>
      <protection locked="0"/>
    </xf>
    <xf numFmtId="0" fontId="0" fillId="0" borderId="5" xfId="0" quotePrefix="1" applyBorder="1" applyAlignment="1" applyProtection="1">
      <alignment wrapText="1"/>
      <protection locked="0"/>
    </xf>
    <xf numFmtId="9" fontId="0" fillId="7" borderId="0" xfId="0" applyNumberFormat="1" applyFill="1" applyAlignment="1" applyProtection="1">
      <alignment horizontal="center"/>
      <protection locked="0"/>
    </xf>
    <xf numFmtId="0" fontId="0" fillId="6" borderId="0" xfId="0" applyFill="1"/>
    <xf numFmtId="0" fontId="4" fillId="3" borderId="0" xfId="0" applyFont="1" applyFill="1" applyAlignment="1">
      <alignment horizontal="center" vertical="center"/>
    </xf>
    <xf numFmtId="0" fontId="4" fillId="4" borderId="35" xfId="0" applyFont="1" applyFill="1" applyBorder="1" applyAlignment="1">
      <alignment horizontal="right" vertical="center"/>
    </xf>
    <xf numFmtId="0" fontId="4" fillId="4" borderId="35" xfId="0" applyFont="1" applyFill="1" applyBorder="1" applyAlignment="1">
      <alignment horizontal="center" vertical="center"/>
    </xf>
    <xf numFmtId="0" fontId="3" fillId="0" borderId="0" xfId="0" applyFont="1" applyAlignment="1">
      <alignment horizontal="center"/>
    </xf>
    <xf numFmtId="0" fontId="0" fillId="0" borderId="0" xfId="0"/>
    <xf numFmtId="0" fontId="8" fillId="0" borderId="0" xfId="0" applyFont="1" applyAlignment="1">
      <alignment horizontal="center"/>
    </xf>
    <xf numFmtId="0" fontId="0" fillId="0" borderId="0" xfId="0" applyAlignment="1">
      <alignment wrapText="1"/>
    </xf>
    <xf numFmtId="0" fontId="0" fillId="7" borderId="0" xfId="0" applyFill="1" applyAlignment="1">
      <alignment horizontal="center"/>
    </xf>
    <xf numFmtId="0" fontId="0" fillId="0" borderId="0" xfId="0" applyAlignment="1">
      <alignment horizontal="left" vertical="center" wrapText="1"/>
    </xf>
    <xf numFmtId="0" fontId="0" fillId="6" borderId="0" xfId="0" applyFill="1" applyAlignment="1">
      <alignment horizontal="center"/>
    </xf>
    <xf numFmtId="0" fontId="7" fillId="0" borderId="0" xfId="0" applyFont="1" applyAlignment="1">
      <alignment horizontal="center"/>
    </xf>
    <xf numFmtId="0" fontId="0" fillId="0" borderId="6" xfId="0" applyBorder="1" applyAlignment="1">
      <alignment horizontal="center" vertical="center" textRotation="90" wrapText="1"/>
    </xf>
    <xf numFmtId="0" fontId="0" fillId="0" borderId="36" xfId="0" applyBorder="1"/>
    <xf numFmtId="0" fontId="0" fillId="0" borderId="37" xfId="0" applyBorder="1"/>
  </cellXfs>
  <cellStyles count="2">
    <cellStyle name="Normal" xfId="0" builtinId="0"/>
    <cellStyle name="Percent" xfId="1" builtinId="5"/>
  </cellStyles>
  <dxfs count="77">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font>
        <b/>
        <strike val="0"/>
        <condense val="0"/>
        <extend val="0"/>
        <outline val="0"/>
        <shadow val="0"/>
        <vertAlign val="baseline"/>
        <sz val="12"/>
        <color theme="1"/>
        <name val="Aptos"/>
      </font>
      <alignment horizontal="general" vertical="center"/>
    </dxf>
    <dxf>
      <alignment vertical="center"/>
    </dxf>
    <dxf>
      <font>
        <b/>
        <strike val="0"/>
        <condense val="0"/>
        <extend val="0"/>
        <outline val="0"/>
        <shadow val="0"/>
        <vertAlign val="baseline"/>
        <sz val="12"/>
        <color theme="1"/>
        <name val="Aptos"/>
      </font>
      <alignment horizontal="center"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3" Type="http://schemas.openxmlformats.org/officeDocument/2006/relationships/worksheet" Target="worksheets/sheet3.xml"/><Relationship Id="rId7" Type="http://schemas.openxmlformats.org/officeDocument/2006/relationships/chartsheet" Target="chartsheets/sheet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PSAP Security Assessment — Domain Implementation Scores </a:t>
            </a:r>
          </a:p>
        </c:rich>
      </c:tx>
      <c:overlay val="0"/>
      <c:spPr>
        <a:noFill/>
        <a:ln>
          <a:noFill/>
          <a:prstDash val="solid"/>
        </a:ln>
      </c:spPr>
    </c:title>
    <c:autoTitleDeleted val="0"/>
    <c:plotArea>
      <c:layout/>
      <c:barChart>
        <c:barDir val="col"/>
        <c:grouping val="clustered"/>
        <c:varyColors val="0"/>
        <c:ser>
          <c:idx val="0"/>
          <c:order val="0"/>
          <c:tx>
            <c:v>Current Performance</c:v>
          </c:tx>
          <c:spPr>
            <a:solidFill>
              <a:schemeClr val="accent4">
                <a:tint val="77000"/>
              </a:schemeClr>
            </a:solidFill>
            <a:ln>
              <a:noFill/>
              <a:prstDash val="solid"/>
            </a:ln>
          </c:spPr>
          <c:invertIfNegative val="0"/>
          <c:dLbls>
            <c:spPr>
              <a:noFill/>
              <a:ln>
                <a:noFill/>
                <a:prstDash val="solid"/>
              </a:ln>
            </c:spPr>
            <c:txPr>
              <a:bodyPr rot="-2700000" spcFirstLastPara="1" vertOverflow="ellipsis" wrap="square" lIns="38100" tIns="19050" rIns="38100" bIns="19050" anchor="ctr" anchorCtr="1">
                <a:spAutoFit/>
              </a:bodyPr>
              <a:lstStyle/>
              <a:p>
                <a:pPr>
                  <a:defRPr sz="900" b="0" i="0"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'-HIDE- Drop Downs | Maths'!$B$16:$B$28</c:f>
              <c:strCache>
                <c:ptCount val="13"/>
                <c:pt idx="0">
                  <c:v>Governance, Risk &amp; Strategy (23 of 48)</c:v>
                </c:pt>
                <c:pt idx="1">
                  <c:v>Identity, Authentication &amp; Access Management (47 of 90)</c:v>
                </c:pt>
                <c:pt idx="2">
                  <c:v>Data Security &amp; Lifecycle Management (18 of 36)</c:v>
                </c:pt>
                <c:pt idx="3">
                  <c:v>Network &amp; Communications Governance (33 of 81)</c:v>
                </c:pt>
                <c:pt idx="4">
                  <c:v>Endpoint Security &amp; Configuration Management (21 of 48)</c:v>
                </c:pt>
                <c:pt idx="5">
                  <c:v>Cryptography, Encryption &amp; Key Management Governance (0 of 27)</c:v>
                </c:pt>
                <c:pt idx="6">
                  <c:v>Logging, Monitoring &amp; Event Detection (12 of 45)</c:v>
                </c:pt>
                <c:pt idx="7">
                  <c:v>Response, Recovery &amp; Forensic Readiness (16 of 30)</c:v>
                </c:pt>
                <c:pt idx="8">
                  <c:v>Business Continuity &amp; Environmental Resilience (25 of 42)</c:v>
                </c:pt>
                <c:pt idx="9">
                  <c:v>Physical &amp; Environmental Security Management (26 of 51)</c:v>
                </c:pt>
                <c:pt idx="10">
                  <c:v>Third-Party Security &amp; Supply Chain Management (3 of 21)</c:v>
                </c:pt>
                <c:pt idx="11">
                  <c:v>Assessment, Testing &amp; Remediation Management (3 of 18)</c:v>
                </c:pt>
                <c:pt idx="12">
                  <c:v>Training, Awareness &amp; Behavioral Governance (18 of 30)</c:v>
                </c:pt>
              </c:strCache>
            </c:strRef>
          </c:cat>
          <c:val>
            <c:numRef>
              <c:f>'-HIDE- Drop Downs | Maths'!$E$16:$E$28</c:f>
              <c:numCache>
                <c:formatCode>0.00%</c:formatCode>
                <c:ptCount val="13"/>
                <c:pt idx="0">
                  <c:v>0.47916666666666669</c:v>
                </c:pt>
                <c:pt idx="1">
                  <c:v>0.52222222222222225</c:v>
                </c:pt>
                <c:pt idx="2">
                  <c:v>0.5</c:v>
                </c:pt>
                <c:pt idx="3">
                  <c:v>0.40740740740740738</c:v>
                </c:pt>
                <c:pt idx="4">
                  <c:v>0.4375</c:v>
                </c:pt>
                <c:pt idx="5">
                  <c:v>0</c:v>
                </c:pt>
                <c:pt idx="6">
                  <c:v>0.26666666666666666</c:v>
                </c:pt>
                <c:pt idx="7">
                  <c:v>0.53333333333333333</c:v>
                </c:pt>
                <c:pt idx="8">
                  <c:v>0.59523809523809523</c:v>
                </c:pt>
                <c:pt idx="9">
                  <c:v>0.50980392156862742</c:v>
                </c:pt>
                <c:pt idx="10">
                  <c:v>0.14285714285714285</c:v>
                </c:pt>
                <c:pt idx="11">
                  <c:v>0.16666666666666666</c:v>
                </c:pt>
                <c:pt idx="12">
                  <c:v>0.6</c:v>
                </c:pt>
              </c:numCache>
            </c:numRef>
          </c:val>
          <c:extLst>
            <c:ext xmlns:c16="http://schemas.microsoft.com/office/drawing/2014/chart" uri="{C3380CC4-5D6E-409C-BE32-E72D297353CC}">
              <c16:uniqueId val="{00000000-0A64-334B-A043-285CCD03AD7F}"/>
            </c:ext>
          </c:extLst>
        </c:ser>
        <c:dLbls>
          <c:dLblPos val="ctr"/>
          <c:showLegendKey val="0"/>
          <c:showVal val="1"/>
          <c:showCatName val="0"/>
          <c:showSerName val="0"/>
          <c:showPercent val="0"/>
          <c:showBubbleSize val="0"/>
        </c:dLbls>
        <c:gapWidth val="100"/>
        <c:axId val="1992514319"/>
        <c:axId val="1992409055"/>
      </c:barChart>
      <c:lineChart>
        <c:grouping val="standard"/>
        <c:varyColors val="0"/>
        <c:ser>
          <c:idx val="1"/>
          <c:order val="1"/>
          <c:tx>
            <c:v>Goal</c:v>
          </c:tx>
          <c:spPr>
            <a:ln w="25400" cap="rnd">
              <a:solidFill>
                <a:schemeClr val="accent2"/>
              </a:solidFill>
              <a:prstDash val="solid"/>
              <a:round/>
            </a:ln>
          </c:spPr>
          <c:marker>
            <c:symbol val="none"/>
          </c:marker>
          <c:val>
            <c:numRef>
              <c:f>'-HIDE- Drop Downs | Maths'!$D$32:$D$44</c:f>
              <c:numCache>
                <c:formatCode>0.00%</c:formatCode>
                <c:ptCount val="13"/>
                <c:pt idx="0">
                  <c:v>0.5</c:v>
                </c:pt>
                <c:pt idx="1">
                  <c:v>0.5</c:v>
                </c:pt>
                <c:pt idx="2">
                  <c:v>0.5</c:v>
                </c:pt>
                <c:pt idx="3">
                  <c:v>0.5</c:v>
                </c:pt>
                <c:pt idx="4">
                  <c:v>0.5</c:v>
                </c:pt>
                <c:pt idx="5">
                  <c:v>0.5</c:v>
                </c:pt>
                <c:pt idx="6">
                  <c:v>0.5</c:v>
                </c:pt>
                <c:pt idx="7">
                  <c:v>0.5</c:v>
                </c:pt>
                <c:pt idx="8">
                  <c:v>0.5</c:v>
                </c:pt>
                <c:pt idx="9">
                  <c:v>0.5</c:v>
                </c:pt>
                <c:pt idx="10">
                  <c:v>0.5</c:v>
                </c:pt>
                <c:pt idx="11">
                  <c:v>0.5</c:v>
                </c:pt>
                <c:pt idx="12">
                  <c:v>0.5</c:v>
                </c:pt>
              </c:numCache>
            </c:numRef>
          </c:val>
          <c:smooth val="1"/>
          <c:extLst>
            <c:ext xmlns:c16="http://schemas.microsoft.com/office/drawing/2014/chart" uri="{C3380CC4-5D6E-409C-BE32-E72D297353CC}">
              <c16:uniqueId val="{00000001-0A64-334B-A043-285CCD03AD7F}"/>
            </c:ext>
          </c:extLst>
        </c:ser>
        <c:dLbls>
          <c:showLegendKey val="0"/>
          <c:showVal val="0"/>
          <c:showCatName val="0"/>
          <c:showSerName val="0"/>
          <c:showPercent val="0"/>
          <c:showBubbleSize val="0"/>
        </c:dLbls>
        <c:marker val="1"/>
        <c:smooth val="0"/>
        <c:axId val="1992514319"/>
        <c:axId val="1992409055"/>
      </c:lineChart>
      <c:catAx>
        <c:axId val="199251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992409055"/>
        <c:crosses val="autoZero"/>
        <c:auto val="1"/>
        <c:lblAlgn val="ctr"/>
        <c:lblOffset val="100"/>
        <c:noMultiLvlLbl val="0"/>
      </c:catAx>
      <c:valAx>
        <c:axId val="1992409055"/>
        <c:scaling>
          <c:orientation val="minMax"/>
          <c:max val="1"/>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solidFill>
              <a:schemeClr val="accent2"/>
            </a:solid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992514319"/>
        <c:crosses val="autoZero"/>
        <c:crossBetween val="between"/>
      </c:valAx>
    </c:plotArea>
    <c:legend>
      <c:legendPos val="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600" b="1" i="0" strike="noStrike" kern="1200" baseline="0">
                <a:solidFill>
                  <a:schemeClr val="tx1">
                    <a:lumMod val="65000"/>
                    <a:lumOff val="35000"/>
                  </a:schemeClr>
                </a:solidFill>
                <a:latin typeface="+mn-lt"/>
                <a:ea typeface="+mn-ea"/>
                <a:cs typeface="+mn-cs"/>
              </a:defRPr>
            </a:pPr>
            <a:r>
              <a:rPr lang="en-US"/>
              <a:t>PSAP Security Assessment — Domain Coverage Profile</a:t>
            </a:r>
          </a:p>
        </c:rich>
      </c:tx>
      <c:overlay val="0"/>
      <c:spPr>
        <a:noFill/>
        <a:ln>
          <a:noFill/>
          <a:prstDash val="solid"/>
        </a:ln>
      </c:spPr>
    </c:title>
    <c:autoTitleDeleted val="0"/>
    <c:plotArea>
      <c:layout/>
      <c:radarChart>
        <c:radarStyle val="marker"/>
        <c:varyColors val="0"/>
        <c:ser>
          <c:idx val="0"/>
          <c:order val="0"/>
          <c:tx>
            <c:v>Current Performance</c:v>
          </c:tx>
          <c:spPr>
            <a:ln w="34925" cap="rnd">
              <a:solidFill>
                <a:schemeClr val="accent1"/>
              </a:solidFill>
              <a:prstDash val="solid"/>
              <a:round/>
            </a:ln>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prstDash val="solid"/>
                <a:round/>
              </a:ln>
            </c:spPr>
          </c:marker>
          <c:cat>
            <c:strRef>
              <c:f>'-HIDE- Drop Downs | Maths'!$B$32:$B$44</c:f>
              <c:strCache>
                <c:ptCount val="13"/>
                <c:pt idx="0">
                  <c:v>Governance, Risk &amp; Strategy (23 of 48)</c:v>
                </c:pt>
                <c:pt idx="1">
                  <c:v>Identity, Authentication &amp; Access Management (47 of 90)</c:v>
                </c:pt>
                <c:pt idx="2">
                  <c:v>Data Security &amp; Lifecycle Management (18 of 36)</c:v>
                </c:pt>
                <c:pt idx="3">
                  <c:v>Network &amp; Communications Governance (33 of 81)</c:v>
                </c:pt>
                <c:pt idx="4">
                  <c:v>Endpoint Security &amp; Configuration Management (21 of 48)</c:v>
                </c:pt>
                <c:pt idx="5">
                  <c:v>Cryptography, Encryption &amp; Key Management Governance (0 of 27)</c:v>
                </c:pt>
                <c:pt idx="6">
                  <c:v>Logging, Monitoring &amp; Event Detection (12 of 45)</c:v>
                </c:pt>
                <c:pt idx="7">
                  <c:v>Response, Recovery &amp; Forensic Readiness (16 of 30)</c:v>
                </c:pt>
                <c:pt idx="8">
                  <c:v>Business Continuity &amp; Environmental Resilience (25 of 42)</c:v>
                </c:pt>
                <c:pt idx="9">
                  <c:v>Physical &amp; Environmental Security Management (26 of 51)</c:v>
                </c:pt>
                <c:pt idx="10">
                  <c:v>Third-Party Security &amp; Supply Chain Management (3 of 21)</c:v>
                </c:pt>
                <c:pt idx="11">
                  <c:v>Assessment, Testing &amp; Remediation Management (3 of 18)</c:v>
                </c:pt>
                <c:pt idx="12">
                  <c:v>Training, Awareness &amp; Behavioral Governance (18 of 30)</c:v>
                </c:pt>
              </c:strCache>
            </c:strRef>
          </c:cat>
          <c:val>
            <c:numRef>
              <c:f>'-HIDE- Drop Downs | Maths'!$C$32:$C$44</c:f>
              <c:numCache>
                <c:formatCode>0.00%</c:formatCode>
                <c:ptCount val="13"/>
                <c:pt idx="0">
                  <c:v>0.47916666666666669</c:v>
                </c:pt>
                <c:pt idx="1">
                  <c:v>0.52222222222222225</c:v>
                </c:pt>
                <c:pt idx="2">
                  <c:v>0.5</c:v>
                </c:pt>
                <c:pt idx="3">
                  <c:v>0.40740740740740738</c:v>
                </c:pt>
                <c:pt idx="4">
                  <c:v>0.4375</c:v>
                </c:pt>
                <c:pt idx="5">
                  <c:v>0</c:v>
                </c:pt>
                <c:pt idx="6">
                  <c:v>0.26666666666666666</c:v>
                </c:pt>
                <c:pt idx="7">
                  <c:v>0.53333333333333333</c:v>
                </c:pt>
                <c:pt idx="8">
                  <c:v>0.59523809523809523</c:v>
                </c:pt>
                <c:pt idx="9">
                  <c:v>0.50980392156862742</c:v>
                </c:pt>
                <c:pt idx="10">
                  <c:v>0.14285714285714285</c:v>
                </c:pt>
                <c:pt idx="11">
                  <c:v>0.16666666666666666</c:v>
                </c:pt>
                <c:pt idx="12">
                  <c:v>0.6</c:v>
                </c:pt>
              </c:numCache>
            </c:numRef>
          </c:val>
          <c:extLst>
            <c:ext xmlns:c16="http://schemas.microsoft.com/office/drawing/2014/chart" uri="{C3380CC4-5D6E-409C-BE32-E72D297353CC}">
              <c16:uniqueId val="{00000000-270B-C246-8783-FD3111CE0AB9}"/>
            </c:ext>
          </c:extLst>
        </c:ser>
        <c:ser>
          <c:idx val="1"/>
          <c:order val="1"/>
          <c:tx>
            <c:v>Goal</c:v>
          </c:tx>
          <c:spPr>
            <a:ln w="15875" cap="sq">
              <a:solidFill>
                <a:schemeClr val="accent2"/>
              </a:solidFill>
              <a:prstDash val="sysDash"/>
              <a:miter lim="800000"/>
            </a:ln>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9525">
                <a:solidFill>
                  <a:schemeClr val="accent2"/>
                </a:solidFill>
                <a:prstDash val="solid"/>
                <a:round/>
              </a:ln>
            </c:spPr>
          </c:marker>
          <c:cat>
            <c:strRef>
              <c:f>'-HIDE- Drop Downs | Maths'!$B$32:$B$44</c:f>
              <c:strCache>
                <c:ptCount val="13"/>
                <c:pt idx="0">
                  <c:v>Governance, Risk &amp; Strategy (23 of 48)</c:v>
                </c:pt>
                <c:pt idx="1">
                  <c:v>Identity, Authentication &amp; Access Management (47 of 90)</c:v>
                </c:pt>
                <c:pt idx="2">
                  <c:v>Data Security &amp; Lifecycle Management (18 of 36)</c:v>
                </c:pt>
                <c:pt idx="3">
                  <c:v>Network &amp; Communications Governance (33 of 81)</c:v>
                </c:pt>
                <c:pt idx="4">
                  <c:v>Endpoint Security &amp; Configuration Management (21 of 48)</c:v>
                </c:pt>
                <c:pt idx="5">
                  <c:v>Cryptography, Encryption &amp; Key Management Governance (0 of 27)</c:v>
                </c:pt>
                <c:pt idx="6">
                  <c:v>Logging, Monitoring &amp; Event Detection (12 of 45)</c:v>
                </c:pt>
                <c:pt idx="7">
                  <c:v>Response, Recovery &amp; Forensic Readiness (16 of 30)</c:v>
                </c:pt>
                <c:pt idx="8">
                  <c:v>Business Continuity &amp; Environmental Resilience (25 of 42)</c:v>
                </c:pt>
                <c:pt idx="9">
                  <c:v>Physical &amp; Environmental Security Management (26 of 51)</c:v>
                </c:pt>
                <c:pt idx="10">
                  <c:v>Third-Party Security &amp; Supply Chain Management (3 of 21)</c:v>
                </c:pt>
                <c:pt idx="11">
                  <c:v>Assessment, Testing &amp; Remediation Management (3 of 18)</c:v>
                </c:pt>
                <c:pt idx="12">
                  <c:v>Training, Awareness &amp; Behavioral Governance (18 of 30)</c:v>
                </c:pt>
              </c:strCache>
            </c:strRef>
          </c:cat>
          <c:val>
            <c:numRef>
              <c:f>'-HIDE- Drop Downs | Maths'!$D$32:$D$44</c:f>
              <c:numCache>
                <c:formatCode>0.00%</c:formatCode>
                <c:ptCount val="13"/>
                <c:pt idx="0">
                  <c:v>0.5</c:v>
                </c:pt>
                <c:pt idx="1">
                  <c:v>0.5</c:v>
                </c:pt>
                <c:pt idx="2">
                  <c:v>0.5</c:v>
                </c:pt>
                <c:pt idx="3">
                  <c:v>0.5</c:v>
                </c:pt>
                <c:pt idx="4">
                  <c:v>0.5</c:v>
                </c:pt>
                <c:pt idx="5">
                  <c:v>0.5</c:v>
                </c:pt>
                <c:pt idx="6">
                  <c:v>0.5</c:v>
                </c:pt>
                <c:pt idx="7">
                  <c:v>0.5</c:v>
                </c:pt>
                <c:pt idx="8">
                  <c:v>0.5</c:v>
                </c:pt>
                <c:pt idx="9">
                  <c:v>0.5</c:v>
                </c:pt>
                <c:pt idx="10">
                  <c:v>0.5</c:v>
                </c:pt>
                <c:pt idx="11">
                  <c:v>0.5</c:v>
                </c:pt>
                <c:pt idx="12">
                  <c:v>0.5</c:v>
                </c:pt>
              </c:numCache>
            </c:numRef>
          </c:val>
          <c:extLst>
            <c:ext xmlns:c16="http://schemas.microsoft.com/office/drawing/2014/chart" uri="{C3380CC4-5D6E-409C-BE32-E72D297353CC}">
              <c16:uniqueId val="{00000001-270B-C246-8783-FD3111CE0AB9}"/>
            </c:ext>
          </c:extLst>
        </c:ser>
        <c:dLbls>
          <c:showLegendKey val="0"/>
          <c:showVal val="0"/>
          <c:showCatName val="0"/>
          <c:showSerName val="0"/>
          <c:showPercent val="0"/>
          <c:showBubbleSize val="0"/>
        </c:dLbls>
        <c:axId val="1939377487"/>
        <c:axId val="1939379199"/>
      </c:radarChart>
      <c:catAx>
        <c:axId val="19393774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939379199"/>
        <c:crosses val="autoZero"/>
        <c:auto val="1"/>
        <c:lblAlgn val="ctr"/>
        <c:lblOffset val="100"/>
        <c:noMultiLvlLbl val="0"/>
      </c:catAx>
      <c:valAx>
        <c:axId val="1939379199"/>
        <c:scaling>
          <c:orientation val="minMax"/>
        </c:scaling>
        <c:delete val="0"/>
        <c:axPos val="l"/>
        <c:majorGridlines>
          <c:spPr>
            <a:ln w="9525" cap="flat" cmpd="sng" algn="ctr">
              <a:solidFill>
                <a:schemeClr val="tx1">
                  <a:lumMod val="15000"/>
                  <a:lumOff val="85000"/>
                </a:schemeClr>
              </a:solidFill>
              <a:prstDash val="solid"/>
              <a:round/>
            </a:ln>
          </c:spPr>
        </c:majorGridlines>
        <c:minorGridlines>
          <c:spPr>
            <a:ln w="9525" cap="flat" cmpd="sng" algn="ctr">
              <a:solidFill>
                <a:schemeClr val="tx1">
                  <a:lumMod val="5000"/>
                  <a:lumOff val="95000"/>
                </a:schemeClr>
              </a:solidFill>
              <a:prstDash val="solid"/>
              <a:round/>
            </a:ln>
          </c:spPr>
        </c:minorGridlines>
        <c:numFmt formatCode="0.00%" sourceLinked="1"/>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939377487"/>
        <c:crosses val="autoZero"/>
        <c:crossBetween val="between"/>
      </c:valAx>
    </c:plotArea>
    <c:legend>
      <c:legendPos val="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500-000000000000}">
  <sheetPr/>
  <sheetViews>
    <sheetView zoomScale="160"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600-000000000000}">
  <sheetPr/>
  <sheetViews>
    <sheetView zoomScale="15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0" cy="0"/>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79682" cy="6293376"/>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2:K16" totalsRowShown="0" headerRowDxfId="76" dataDxfId="75">
  <autoFilter ref="B2:K16"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000-000001000000}" name="Domain" dataDxfId="74"/>
    <tableColumn id="2" xr3:uid="{00000000-0010-0000-0000-000002000000}" name="Not Applicable" dataDxfId="73"/>
    <tableColumn id="3" xr3:uid="{00000000-0010-0000-0000-000003000000}" name="Unknown" dataDxfId="72"/>
    <tableColumn id="4" xr3:uid="{00000000-0010-0000-0000-000004000000}" name="No" dataDxfId="71"/>
    <tableColumn id="5" xr3:uid="{00000000-0010-0000-0000-000005000000}" name="Planned" dataDxfId="70"/>
    <tableColumn id="6" xr3:uid="{00000000-0010-0000-0000-000006000000}" name="In Progress" dataDxfId="69"/>
    <tableColumn id="7" xr3:uid="{00000000-0010-0000-0000-000007000000}" name="Yes" dataDxfId="68"/>
    <tableColumn id="8" xr3:uid="{00000000-0010-0000-0000-000008000000}" name="Points" dataDxfId="67"/>
    <tableColumn id="9" xr3:uid="{00000000-0010-0000-0000-000009000000}" name="of possible" dataDxfId="66"/>
    <tableColumn id="10" xr3:uid="{00000000-0010-0000-0000-00000A000000}" name="TOTAL" dataDxfId="65"/>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54"/>
  <sheetViews>
    <sheetView showGridLines="0" zoomScale="110" zoomScaleNormal="110" workbookViewId="0"/>
  </sheetViews>
  <sheetFormatPr baseColWidth="10" defaultRowHeight="16" x14ac:dyDescent="0.2"/>
  <cols>
    <col min="1" max="1" width="2.83203125" customWidth="1"/>
    <col min="2" max="10" width="13.83203125" customWidth="1"/>
  </cols>
  <sheetData>
    <row r="2" spans="2:10" ht="24" customHeight="1" x14ac:dyDescent="0.3">
      <c r="B2" s="105" t="s">
        <v>0</v>
      </c>
      <c r="C2" s="99"/>
      <c r="D2" s="99"/>
      <c r="E2" s="99"/>
      <c r="F2" s="99"/>
      <c r="G2" s="99"/>
      <c r="H2" s="99"/>
      <c r="I2" s="99"/>
      <c r="J2" s="99"/>
    </row>
    <row r="3" spans="2:10" ht="5" customHeight="1" x14ac:dyDescent="0.2"/>
    <row r="4" spans="2:10" x14ac:dyDescent="0.2">
      <c r="B4" s="103" t="s">
        <v>1</v>
      </c>
      <c r="C4" s="99"/>
      <c r="D4" s="99"/>
      <c r="E4" s="99"/>
      <c r="F4" s="99"/>
      <c r="G4" s="99"/>
      <c r="H4" s="99"/>
      <c r="I4" s="99"/>
      <c r="J4" s="99"/>
    </row>
    <row r="5" spans="2:10" x14ac:dyDescent="0.2">
      <c r="B5" s="99"/>
      <c r="C5" s="99"/>
      <c r="D5" s="99"/>
      <c r="E5" s="99"/>
      <c r="F5" s="99"/>
      <c r="G5" s="99"/>
      <c r="H5" s="99"/>
      <c r="I5" s="99"/>
      <c r="J5" s="99"/>
    </row>
    <row r="6" spans="2:10" x14ac:dyDescent="0.2">
      <c r="B6" s="99"/>
      <c r="C6" s="99"/>
      <c r="D6" s="99"/>
      <c r="E6" s="99"/>
      <c r="F6" s="99"/>
      <c r="G6" s="99"/>
      <c r="H6" s="99"/>
      <c r="I6" s="99"/>
      <c r="J6" s="99"/>
    </row>
    <row r="7" spans="2:10" ht="5" customHeight="1" x14ac:dyDescent="0.2"/>
    <row r="8" spans="2:10" ht="22" customHeight="1" x14ac:dyDescent="0.3">
      <c r="B8" s="100" t="s">
        <v>2</v>
      </c>
      <c r="C8" s="99"/>
      <c r="D8" s="99"/>
      <c r="E8" s="99"/>
      <c r="F8" s="99"/>
      <c r="G8" s="99"/>
      <c r="H8" s="99"/>
      <c r="I8" s="99"/>
      <c r="J8" s="99"/>
    </row>
    <row r="9" spans="2:10" x14ac:dyDescent="0.2">
      <c r="B9" s="98" t="s">
        <v>3</v>
      </c>
      <c r="C9" s="99"/>
      <c r="D9" s="101" t="s">
        <v>4</v>
      </c>
      <c r="E9" s="99"/>
      <c r="F9" s="99"/>
      <c r="G9" s="99"/>
      <c r="H9" s="99"/>
      <c r="I9" s="99"/>
      <c r="J9" s="99"/>
    </row>
    <row r="10" spans="2:10" x14ac:dyDescent="0.2">
      <c r="D10" s="99"/>
      <c r="E10" s="99"/>
      <c r="F10" s="99"/>
      <c r="G10" s="99"/>
      <c r="H10" s="99"/>
      <c r="I10" s="99"/>
      <c r="J10" s="99"/>
    </row>
    <row r="11" spans="2:10" x14ac:dyDescent="0.2">
      <c r="D11" s="99"/>
      <c r="E11" s="99"/>
      <c r="F11" s="99"/>
      <c r="G11" s="99"/>
      <c r="H11" s="99"/>
      <c r="I11" s="99"/>
      <c r="J11" s="99"/>
    </row>
    <row r="12" spans="2:10" x14ac:dyDescent="0.2">
      <c r="D12" s="101" t="s">
        <v>5</v>
      </c>
      <c r="E12" s="99"/>
      <c r="F12" s="99"/>
      <c r="G12" s="99"/>
      <c r="H12" s="99"/>
      <c r="I12" s="99"/>
      <c r="J12" s="99"/>
    </row>
    <row r="13" spans="2:10" x14ac:dyDescent="0.2">
      <c r="D13" s="99"/>
      <c r="E13" s="99"/>
      <c r="F13" s="99"/>
      <c r="G13" s="99"/>
      <c r="H13" s="99"/>
      <c r="I13" s="99"/>
      <c r="J13" s="99"/>
    </row>
    <row r="14" spans="2:10" x14ac:dyDescent="0.2">
      <c r="D14" s="99"/>
      <c r="E14" s="99"/>
      <c r="F14" s="99"/>
      <c r="G14" s="99"/>
      <c r="H14" s="99"/>
      <c r="I14" s="99"/>
      <c r="J14" s="99"/>
    </row>
    <row r="15" spans="2:10" x14ac:dyDescent="0.2">
      <c r="D15" s="99"/>
      <c r="E15" s="99"/>
      <c r="F15" s="99"/>
      <c r="G15" s="99"/>
      <c r="H15" s="99"/>
      <c r="I15" s="99"/>
      <c r="J15" s="99"/>
    </row>
    <row r="16" spans="2:10" x14ac:dyDescent="0.2">
      <c r="D16" s="99"/>
      <c r="E16" s="99"/>
      <c r="F16" s="99"/>
      <c r="G16" s="99"/>
      <c r="H16" s="99"/>
      <c r="I16" s="99"/>
      <c r="J16" s="99"/>
    </row>
    <row r="17" spans="2:10" x14ac:dyDescent="0.2">
      <c r="D17" s="99"/>
      <c r="E17" s="99"/>
      <c r="F17" s="99"/>
      <c r="G17" s="99"/>
      <c r="H17" s="99"/>
      <c r="I17" s="99"/>
      <c r="J17" s="99"/>
    </row>
    <row r="18" spans="2:10" x14ac:dyDescent="0.2">
      <c r="D18" s="99"/>
      <c r="E18" s="99"/>
      <c r="F18" s="99"/>
      <c r="G18" s="99"/>
      <c r="H18" s="99"/>
      <c r="I18" s="99"/>
      <c r="J18" s="99"/>
    </row>
    <row r="19" spans="2:10" ht="5" customHeight="1" x14ac:dyDescent="0.2"/>
    <row r="20" spans="2:10" x14ac:dyDescent="0.2">
      <c r="B20" s="98" t="s">
        <v>6</v>
      </c>
      <c r="C20" s="99"/>
      <c r="D20" s="101" t="s">
        <v>7</v>
      </c>
      <c r="E20" s="99"/>
      <c r="F20" s="99"/>
      <c r="G20" s="99"/>
      <c r="H20" s="99"/>
      <c r="I20" s="99"/>
      <c r="J20" s="99"/>
    </row>
    <row r="21" spans="2:10" x14ac:dyDescent="0.2">
      <c r="D21" s="99"/>
      <c r="E21" s="99"/>
      <c r="F21" s="99"/>
      <c r="G21" s="99"/>
      <c r="H21" s="99"/>
      <c r="I21" s="99"/>
      <c r="J21" s="99"/>
    </row>
    <row r="22" spans="2:10" ht="5" customHeight="1" x14ac:dyDescent="0.2"/>
    <row r="23" spans="2:10" x14ac:dyDescent="0.2">
      <c r="B23" s="98" t="s">
        <v>8</v>
      </c>
      <c r="C23" s="99"/>
      <c r="D23" s="99" t="s">
        <v>9</v>
      </c>
      <c r="E23" s="99"/>
      <c r="F23" s="99"/>
      <c r="G23" s="99"/>
      <c r="H23" s="99"/>
      <c r="I23" s="99"/>
      <c r="J23" s="99"/>
    </row>
    <row r="24" spans="2:10" ht="5" customHeight="1" x14ac:dyDescent="0.2"/>
    <row r="25" spans="2:10" x14ac:dyDescent="0.2">
      <c r="B25" s="98" t="s">
        <v>10</v>
      </c>
      <c r="C25" s="99"/>
      <c r="D25" s="101" t="s">
        <v>11</v>
      </c>
      <c r="E25" s="99"/>
      <c r="F25" s="99"/>
      <c r="G25" s="99"/>
      <c r="H25" s="99"/>
      <c r="I25" s="99"/>
      <c r="J25" s="99"/>
    </row>
    <row r="26" spans="2:10" x14ac:dyDescent="0.2">
      <c r="D26" s="99"/>
      <c r="E26" s="99"/>
      <c r="F26" s="99"/>
      <c r="G26" s="99"/>
      <c r="H26" s="99"/>
      <c r="I26" s="99"/>
      <c r="J26" s="99"/>
    </row>
    <row r="27" spans="2:10" ht="5" customHeight="1" x14ac:dyDescent="0.2"/>
    <row r="28" spans="2:10" x14ac:dyDescent="0.2">
      <c r="B28" s="98" t="s">
        <v>12</v>
      </c>
      <c r="C28" s="99"/>
      <c r="D28" s="101" t="s">
        <v>13</v>
      </c>
      <c r="E28" s="99"/>
      <c r="F28" s="99"/>
      <c r="G28" s="99"/>
      <c r="H28" s="99"/>
      <c r="I28" s="99"/>
      <c r="J28" s="99"/>
    </row>
    <row r="29" spans="2:10" x14ac:dyDescent="0.2">
      <c r="D29" s="99"/>
      <c r="E29" s="99"/>
      <c r="F29" s="99"/>
      <c r="G29" s="99"/>
      <c r="H29" s="99"/>
      <c r="I29" s="99"/>
      <c r="J29" s="99"/>
    </row>
    <row r="30" spans="2:10" ht="5" customHeight="1" x14ac:dyDescent="0.2"/>
    <row r="31" spans="2:10" ht="5" customHeight="1" x14ac:dyDescent="0.2">
      <c r="B31" s="104"/>
      <c r="C31" s="99"/>
      <c r="D31" s="99"/>
      <c r="E31" s="99"/>
      <c r="F31" s="99"/>
      <c r="G31" s="99"/>
      <c r="H31" s="99"/>
      <c r="I31" s="99"/>
      <c r="J31" s="99"/>
    </row>
    <row r="32" spans="2:10" ht="5" customHeight="1" x14ac:dyDescent="0.2"/>
    <row r="33" spans="2:10" ht="22" customHeight="1" x14ac:dyDescent="0.3">
      <c r="B33" s="100" t="s">
        <v>14</v>
      </c>
      <c r="C33" s="99"/>
      <c r="D33" s="99"/>
      <c r="E33" s="99"/>
      <c r="F33" s="99"/>
      <c r="G33" s="99"/>
      <c r="H33" s="99"/>
      <c r="I33" s="99"/>
      <c r="J33" s="99"/>
    </row>
    <row r="34" spans="2:10" ht="5" customHeight="1" x14ac:dyDescent="0.2"/>
    <row r="35" spans="2:10" ht="16" customHeight="1" x14ac:dyDescent="0.2">
      <c r="B35" s="101" t="s">
        <v>15</v>
      </c>
      <c r="C35" s="99"/>
      <c r="D35" s="99"/>
      <c r="E35" s="99"/>
      <c r="F35" s="99"/>
      <c r="G35" s="99"/>
      <c r="H35" s="99"/>
      <c r="I35" s="99"/>
      <c r="J35" s="99"/>
    </row>
    <row r="36" spans="2:10" x14ac:dyDescent="0.2">
      <c r="B36" s="99"/>
      <c r="C36" s="99"/>
      <c r="D36" s="99"/>
      <c r="E36" s="99"/>
      <c r="F36" s="99"/>
      <c r="G36" s="99"/>
      <c r="H36" s="99"/>
      <c r="I36" s="99"/>
      <c r="J36" s="99"/>
    </row>
    <row r="37" spans="2:10" x14ac:dyDescent="0.2">
      <c r="B37" s="99"/>
      <c r="C37" s="99"/>
      <c r="D37" s="99"/>
      <c r="E37" s="99"/>
      <c r="F37" s="99"/>
      <c r="G37" s="99"/>
      <c r="H37" s="99"/>
      <c r="I37" s="99"/>
      <c r="J37" s="99"/>
    </row>
    <row r="38" spans="2:10" x14ac:dyDescent="0.2">
      <c r="B38" s="99"/>
      <c r="C38" s="99"/>
      <c r="D38" s="99"/>
      <c r="E38" s="99"/>
      <c r="F38" s="99"/>
      <c r="G38" s="99"/>
      <c r="H38" s="99"/>
      <c r="I38" s="99"/>
      <c r="J38" s="99"/>
    </row>
    <row r="39" spans="2:10" ht="5" customHeight="1" x14ac:dyDescent="0.2"/>
    <row r="40" spans="2:10" ht="22" customHeight="1" x14ac:dyDescent="0.3">
      <c r="B40" s="100" t="s">
        <v>16</v>
      </c>
      <c r="C40" s="99"/>
      <c r="D40" s="99"/>
      <c r="E40" s="99"/>
      <c r="F40" s="99"/>
      <c r="G40" s="99"/>
      <c r="H40" s="99"/>
      <c r="I40" s="99"/>
      <c r="J40" s="99"/>
    </row>
    <row r="41" spans="2:10" ht="5" customHeight="1" x14ac:dyDescent="0.2"/>
    <row r="42" spans="2:10" x14ac:dyDescent="0.2">
      <c r="B42" s="101" t="s">
        <v>17</v>
      </c>
      <c r="C42" s="99"/>
      <c r="D42" s="99"/>
      <c r="E42" s="99"/>
      <c r="F42" s="99"/>
      <c r="G42" s="99"/>
      <c r="H42" s="99"/>
      <c r="I42" s="99"/>
      <c r="J42" s="99"/>
    </row>
    <row r="43" spans="2:10" x14ac:dyDescent="0.2">
      <c r="B43" s="99"/>
      <c r="C43" s="99"/>
      <c r="D43" s="99"/>
      <c r="E43" s="99"/>
      <c r="F43" s="99"/>
      <c r="G43" s="99"/>
      <c r="H43" s="99"/>
      <c r="I43" s="99"/>
      <c r="J43" s="99"/>
    </row>
    <row r="44" spans="2:10" x14ac:dyDescent="0.2">
      <c r="B44" s="99"/>
      <c r="C44" s="99"/>
      <c r="D44" s="99"/>
      <c r="E44" s="99"/>
      <c r="F44" s="99"/>
      <c r="G44" s="99"/>
      <c r="H44" s="99"/>
      <c r="I44" s="99"/>
      <c r="J44" s="99"/>
    </row>
    <row r="45" spans="2:10" x14ac:dyDescent="0.2">
      <c r="B45" s="99"/>
      <c r="C45" s="99"/>
      <c r="D45" s="99"/>
      <c r="E45" s="99"/>
      <c r="F45" s="99"/>
      <c r="G45" s="99"/>
      <c r="H45" s="99"/>
      <c r="I45" s="99"/>
      <c r="J45" s="99"/>
    </row>
    <row r="46" spans="2:10" ht="5" customHeight="1" x14ac:dyDescent="0.2"/>
    <row r="47" spans="2:10" ht="22" customHeight="1" x14ac:dyDescent="0.3">
      <c r="B47" s="100" t="s">
        <v>18</v>
      </c>
      <c r="C47" s="99"/>
      <c r="D47" s="99"/>
      <c r="E47" s="99"/>
      <c r="F47" s="99"/>
      <c r="G47" s="99"/>
      <c r="H47" s="99"/>
      <c r="I47" s="99"/>
      <c r="J47" s="99"/>
    </row>
    <row r="48" spans="2:10" ht="5" customHeight="1" x14ac:dyDescent="0.2"/>
    <row r="49" spans="2:10" x14ac:dyDescent="0.2">
      <c r="B49" s="101" t="s">
        <v>19</v>
      </c>
      <c r="C49" s="99"/>
      <c r="D49" s="99"/>
      <c r="E49" s="99"/>
      <c r="F49" s="99"/>
      <c r="G49" s="99"/>
      <c r="H49" s="99"/>
      <c r="I49" s="99"/>
      <c r="J49" s="99"/>
    </row>
    <row r="50" spans="2:10" x14ac:dyDescent="0.2">
      <c r="B50" s="99"/>
      <c r="C50" s="99"/>
      <c r="D50" s="99"/>
      <c r="E50" s="99"/>
      <c r="F50" s="99"/>
      <c r="G50" s="99"/>
      <c r="H50" s="99"/>
      <c r="I50" s="99"/>
      <c r="J50" s="99"/>
    </row>
    <row r="51" spans="2:10" x14ac:dyDescent="0.2">
      <c r="B51" s="102" t="s">
        <v>20</v>
      </c>
      <c r="C51" s="99"/>
      <c r="D51" s="99"/>
      <c r="E51" s="93">
        <v>0.5</v>
      </c>
    </row>
    <row r="52" spans="2:10" ht="5" customHeight="1" x14ac:dyDescent="0.2"/>
    <row r="53" spans="2:10" ht="5" customHeight="1" x14ac:dyDescent="0.2">
      <c r="B53" s="94"/>
      <c r="C53" s="94"/>
      <c r="D53" s="94"/>
      <c r="E53" s="94"/>
      <c r="F53" s="94"/>
      <c r="G53" s="94"/>
      <c r="H53" s="94"/>
      <c r="I53" s="94"/>
      <c r="J53" s="94"/>
    </row>
    <row r="54" spans="2:10" ht="5" customHeight="1" x14ac:dyDescent="0.2"/>
  </sheetData>
  <mergeCells count="22">
    <mergeCell ref="B2:J2"/>
    <mergeCell ref="B4:J6"/>
    <mergeCell ref="B47:J47"/>
    <mergeCell ref="D20:J21"/>
    <mergeCell ref="B20:C20"/>
    <mergeCell ref="B31:J31"/>
    <mergeCell ref="B35:J38"/>
    <mergeCell ref="B23:C23"/>
    <mergeCell ref="B40:J40"/>
    <mergeCell ref="B51:D51"/>
    <mergeCell ref="B33:J33"/>
    <mergeCell ref="D28:J29"/>
    <mergeCell ref="B42:J45"/>
    <mergeCell ref="B28:C28"/>
    <mergeCell ref="D25:J26"/>
    <mergeCell ref="B49:J50"/>
    <mergeCell ref="B25:C25"/>
    <mergeCell ref="B8:J8"/>
    <mergeCell ref="D12:J18"/>
    <mergeCell ref="D23:J23"/>
    <mergeCell ref="D9:J11"/>
    <mergeCell ref="B9:C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3"/>
  <sheetViews>
    <sheetView workbookViewId="0">
      <selection activeCell="B13" sqref="B13"/>
    </sheetView>
  </sheetViews>
  <sheetFormatPr baseColWidth="10" defaultRowHeight="16" x14ac:dyDescent="0.2"/>
  <cols>
    <col min="1" max="1" width="27.1640625" bestFit="1" customWidth="1"/>
    <col min="2" max="2" width="4.83203125" bestFit="1" customWidth="1"/>
    <col min="3" max="3" width="45.83203125" customWidth="1"/>
    <col min="4" max="4" width="25.83203125" customWidth="1"/>
  </cols>
  <sheetData>
    <row r="1" spans="1:4" x14ac:dyDescent="0.2">
      <c r="A1" s="74" t="s">
        <v>21</v>
      </c>
      <c r="C1" s="77" t="s">
        <v>22</v>
      </c>
    </row>
    <row r="2" spans="1:4" x14ac:dyDescent="0.2">
      <c r="A2" s="74" t="s">
        <v>23</v>
      </c>
      <c r="C2" s="78" t="s">
        <v>24</v>
      </c>
    </row>
    <row r="3" spans="1:4" x14ac:dyDescent="0.2">
      <c r="A3" s="74" t="s">
        <v>25</v>
      </c>
      <c r="C3" s="78" t="s">
        <v>26</v>
      </c>
    </row>
    <row r="4" spans="1:4" x14ac:dyDescent="0.2">
      <c r="A4" s="74"/>
    </row>
    <row r="5" spans="1:4" x14ac:dyDescent="0.2">
      <c r="A5" s="74" t="s">
        <v>27</v>
      </c>
      <c r="C5" s="77" t="s">
        <v>28</v>
      </c>
    </row>
    <row r="6" spans="1:4" x14ac:dyDescent="0.2">
      <c r="A6" s="74" t="s">
        <v>29</v>
      </c>
      <c r="C6" s="78" t="s">
        <v>30</v>
      </c>
    </row>
    <row r="7" spans="1:4" x14ac:dyDescent="0.2">
      <c r="A7" s="74" t="s">
        <v>31</v>
      </c>
      <c r="C7" s="78" t="s">
        <v>32</v>
      </c>
    </row>
    <row r="8" spans="1:4" x14ac:dyDescent="0.2">
      <c r="A8" s="74"/>
    </row>
    <row r="9" spans="1:4" x14ac:dyDescent="0.2">
      <c r="A9" s="74" t="s">
        <v>33</v>
      </c>
      <c r="C9" s="89">
        <v>45672</v>
      </c>
    </row>
    <row r="10" spans="1:4" x14ac:dyDescent="0.2">
      <c r="A10" s="74" t="s">
        <v>34</v>
      </c>
      <c r="C10" s="89">
        <v>45689</v>
      </c>
    </row>
    <row r="11" spans="1:4" x14ac:dyDescent="0.2">
      <c r="A11" s="74" t="s">
        <v>35</v>
      </c>
      <c r="C11" s="90"/>
    </row>
    <row r="12" spans="1:4" x14ac:dyDescent="0.2">
      <c r="A12" s="74"/>
    </row>
    <row r="13" spans="1:4" x14ac:dyDescent="0.2">
      <c r="A13" s="74" t="s">
        <v>36</v>
      </c>
      <c r="B13" s="76">
        <f>'General Information'!$E$51</f>
        <v>0.5</v>
      </c>
    </row>
    <row r="14" spans="1:4" x14ac:dyDescent="0.2">
      <c r="A14" s="74"/>
    </row>
    <row r="15" spans="1:4" x14ac:dyDescent="0.2">
      <c r="A15" s="75" t="s">
        <v>37</v>
      </c>
      <c r="C15" s="79" t="s">
        <v>38</v>
      </c>
      <c r="D15" s="79" t="s">
        <v>39</v>
      </c>
    </row>
    <row r="16" spans="1:4" ht="34" customHeight="1" x14ac:dyDescent="0.2">
      <c r="A16" s="80" t="s">
        <v>40</v>
      </c>
      <c r="C16" s="85" t="s">
        <v>41</v>
      </c>
      <c r="D16" s="87">
        <v>45689</v>
      </c>
    </row>
    <row r="17" spans="1:4" ht="34" customHeight="1" x14ac:dyDescent="0.2">
      <c r="A17" s="80" t="s">
        <v>42</v>
      </c>
      <c r="C17" s="86" t="s">
        <v>41</v>
      </c>
      <c r="D17" s="88">
        <v>45689</v>
      </c>
    </row>
    <row r="18" spans="1:4" ht="34" customHeight="1" x14ac:dyDescent="0.2">
      <c r="A18" s="80" t="s">
        <v>43</v>
      </c>
      <c r="C18" s="86" t="s">
        <v>41</v>
      </c>
      <c r="D18" s="88">
        <v>45689</v>
      </c>
    </row>
    <row r="19" spans="1:4" ht="34" customHeight="1" x14ac:dyDescent="0.2">
      <c r="A19" s="80" t="s">
        <v>44</v>
      </c>
      <c r="C19" s="86" t="s">
        <v>41</v>
      </c>
      <c r="D19" s="88">
        <v>45689</v>
      </c>
    </row>
    <row r="20" spans="1:4" ht="34" customHeight="1" x14ac:dyDescent="0.2">
      <c r="A20" s="80" t="s">
        <v>45</v>
      </c>
      <c r="C20" s="86" t="s">
        <v>41</v>
      </c>
      <c r="D20" s="88">
        <v>45689</v>
      </c>
    </row>
    <row r="21" spans="1:4" ht="34" customHeight="1" x14ac:dyDescent="0.2">
      <c r="A21" s="80" t="s">
        <v>46</v>
      </c>
      <c r="C21" s="86" t="s">
        <v>41</v>
      </c>
      <c r="D21" s="88">
        <v>45689</v>
      </c>
    </row>
    <row r="22" spans="1:4" ht="34" customHeight="1" x14ac:dyDescent="0.2">
      <c r="A22" s="80" t="s">
        <v>47</v>
      </c>
      <c r="C22" s="86" t="s">
        <v>41</v>
      </c>
      <c r="D22" s="88">
        <v>45689</v>
      </c>
    </row>
    <row r="23" spans="1:4" ht="34" customHeight="1" x14ac:dyDescent="0.2">
      <c r="A23" s="80" t="s">
        <v>48</v>
      </c>
      <c r="C23" s="86" t="s">
        <v>41</v>
      </c>
      <c r="D23" s="88">
        <v>45689</v>
      </c>
    </row>
    <row r="24" spans="1:4" ht="34" customHeight="1" x14ac:dyDescent="0.2">
      <c r="A24" s="80" t="s">
        <v>49</v>
      </c>
      <c r="C24" s="86" t="s">
        <v>41</v>
      </c>
      <c r="D24" s="88">
        <v>45689</v>
      </c>
    </row>
    <row r="25" spans="1:4" ht="34" customHeight="1" x14ac:dyDescent="0.2">
      <c r="A25" s="80" t="s">
        <v>50</v>
      </c>
      <c r="C25" s="86" t="s">
        <v>41</v>
      </c>
      <c r="D25" s="88">
        <v>45689</v>
      </c>
    </row>
    <row r="26" spans="1:4" ht="34" customHeight="1" x14ac:dyDescent="0.2">
      <c r="A26" s="80" t="s">
        <v>51</v>
      </c>
      <c r="C26" s="86" t="s">
        <v>41</v>
      </c>
      <c r="D26" s="88">
        <v>45689</v>
      </c>
    </row>
    <row r="27" spans="1:4" ht="34" customHeight="1" x14ac:dyDescent="0.2">
      <c r="A27" s="80" t="s">
        <v>52</v>
      </c>
      <c r="C27" s="86" t="s">
        <v>41</v>
      </c>
      <c r="D27" s="88">
        <v>45689</v>
      </c>
    </row>
    <row r="28" spans="1:4" ht="34" customHeight="1" x14ac:dyDescent="0.2">
      <c r="A28" s="80" t="s">
        <v>53</v>
      </c>
      <c r="C28" s="86" t="s">
        <v>41</v>
      </c>
      <c r="D28" s="88">
        <v>45689</v>
      </c>
    </row>
    <row r="30" spans="1:4" x14ac:dyDescent="0.2">
      <c r="A30" s="75"/>
    </row>
    <row r="31" spans="1:4" x14ac:dyDescent="0.2">
      <c r="A31" s="74"/>
    </row>
    <row r="32" spans="1:4" x14ac:dyDescent="0.2">
      <c r="A32" s="74"/>
    </row>
    <row r="33" spans="1:1" x14ac:dyDescent="0.2">
      <c r="A33" s="74"/>
    </row>
    <row r="34" spans="1:1" x14ac:dyDescent="0.2">
      <c r="A34" s="74"/>
    </row>
    <row r="35" spans="1:1" x14ac:dyDescent="0.2">
      <c r="A35" s="74"/>
    </row>
    <row r="36" spans="1:1" x14ac:dyDescent="0.2">
      <c r="A36" s="74"/>
    </row>
    <row r="37" spans="1:1" x14ac:dyDescent="0.2">
      <c r="A37" s="74"/>
    </row>
    <row r="38" spans="1:1" x14ac:dyDescent="0.2">
      <c r="A38" s="74"/>
    </row>
    <row r="39" spans="1:1" x14ac:dyDescent="0.2">
      <c r="A39" s="74"/>
    </row>
    <row r="40" spans="1:1" x14ac:dyDescent="0.2">
      <c r="A40" s="74"/>
    </row>
    <row r="41" spans="1:1" x14ac:dyDescent="0.2">
      <c r="A41" s="74"/>
    </row>
    <row r="42" spans="1:1" x14ac:dyDescent="0.2">
      <c r="A42" s="74"/>
    </row>
    <row r="43" spans="1:1" x14ac:dyDescent="0.2">
      <c r="A43" s="7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14"/>
  <sheetViews>
    <sheetView tabSelected="1" zoomScaleNormal="100" workbookViewId="0">
      <pane xSplit="1" ySplit="1" topLeftCell="B68" activePane="bottomRight" state="frozen"/>
      <selection pane="topRight" activeCell="B1" sqref="B1"/>
      <selection pane="bottomLeft" activeCell="A2" sqref="A2"/>
      <selection pane="bottomRight" activeCell="C71" sqref="C71"/>
    </sheetView>
  </sheetViews>
  <sheetFormatPr baseColWidth="10" defaultRowHeight="16" outlineLevelRow="2" x14ac:dyDescent="0.2"/>
  <cols>
    <col min="1" max="1" width="8.33203125" style="7" customWidth="1"/>
    <col min="2" max="3" width="4.33203125" customWidth="1"/>
    <col min="4" max="4" width="4.33203125" style="7" customWidth="1"/>
    <col min="5" max="5" width="73.1640625" style="9" customWidth="1"/>
    <col min="6" max="6" width="63.33203125" style="9" customWidth="1"/>
    <col min="7" max="7" width="24" customWidth="1"/>
  </cols>
  <sheetData>
    <row r="1" spans="1:7" ht="110" customHeight="1" x14ac:dyDescent="0.2">
      <c r="A1" s="1" t="s">
        <v>54</v>
      </c>
      <c r="B1" s="2"/>
      <c r="C1" s="3"/>
      <c r="D1" s="4" t="s">
        <v>55</v>
      </c>
      <c r="E1" s="5" t="s">
        <v>56</v>
      </c>
      <c r="F1" s="6" t="s">
        <v>57</v>
      </c>
      <c r="G1" s="5" t="s">
        <v>58</v>
      </c>
    </row>
    <row r="2" spans="1:7" ht="22" customHeight="1" x14ac:dyDescent="0.3">
      <c r="B2" s="8" t="s">
        <v>59</v>
      </c>
    </row>
    <row r="3" spans="1:7" ht="19" customHeight="1" outlineLevel="1" x14ac:dyDescent="0.25">
      <c r="C3" s="10" t="s">
        <v>60</v>
      </c>
      <c r="D3" s="11"/>
    </row>
    <row r="4" spans="1:7" ht="136" customHeight="1" outlineLevel="2" x14ac:dyDescent="0.2">
      <c r="A4" s="83" t="s">
        <v>61</v>
      </c>
      <c r="B4" s="13"/>
      <c r="C4" s="13"/>
      <c r="D4" s="12" t="s">
        <v>62</v>
      </c>
      <c r="E4" s="14" t="s">
        <v>63</v>
      </c>
      <c r="F4" s="81" t="s">
        <v>64</v>
      </c>
      <c r="G4" s="50" t="s">
        <v>65</v>
      </c>
    </row>
    <row r="5" spans="1:7" ht="170" customHeight="1" outlineLevel="2" x14ac:dyDescent="0.2">
      <c r="A5" s="84" t="s">
        <v>66</v>
      </c>
      <c r="B5" s="16"/>
      <c r="C5" s="16"/>
      <c r="D5" s="15" t="s">
        <v>67</v>
      </c>
      <c r="E5" s="17" t="s">
        <v>68</v>
      </c>
      <c r="F5" s="82" t="s">
        <v>69</v>
      </c>
      <c r="G5" s="50" t="s">
        <v>70</v>
      </c>
    </row>
    <row r="6" spans="1:7" ht="119" customHeight="1" outlineLevel="2" x14ac:dyDescent="0.2">
      <c r="A6" s="84" t="s">
        <v>71</v>
      </c>
      <c r="B6" s="16"/>
      <c r="C6" s="16"/>
      <c r="D6" s="15" t="s">
        <v>72</v>
      </c>
      <c r="E6" s="17" t="s">
        <v>73</v>
      </c>
      <c r="F6" s="82" t="s">
        <v>74</v>
      </c>
      <c r="G6" s="50" t="s">
        <v>70</v>
      </c>
    </row>
    <row r="7" spans="1:7" outlineLevel="1" x14ac:dyDescent="0.2">
      <c r="G7" s="21"/>
    </row>
    <row r="8" spans="1:7" ht="19" customHeight="1" outlineLevel="1" x14ac:dyDescent="0.25">
      <c r="C8" s="10" t="s">
        <v>75</v>
      </c>
      <c r="G8" s="21"/>
    </row>
    <row r="9" spans="1:7" ht="170" customHeight="1" outlineLevel="2" x14ac:dyDescent="0.2">
      <c r="A9" s="83" t="s">
        <v>76</v>
      </c>
      <c r="B9" s="13"/>
      <c r="C9" s="13"/>
      <c r="D9" s="12" t="s">
        <v>62</v>
      </c>
      <c r="E9" s="14" t="s">
        <v>77</v>
      </c>
      <c r="F9" s="81" t="s">
        <v>78</v>
      </c>
      <c r="G9" s="50" t="s">
        <v>70</v>
      </c>
    </row>
    <row r="10" spans="1:7" ht="187" customHeight="1" outlineLevel="2" x14ac:dyDescent="0.2">
      <c r="A10" s="84" t="s">
        <v>79</v>
      </c>
      <c r="B10" s="16"/>
      <c r="C10" s="16"/>
      <c r="D10" s="15" t="s">
        <v>67</v>
      </c>
      <c r="E10" s="17" t="s">
        <v>80</v>
      </c>
      <c r="F10" s="82" t="s">
        <v>81</v>
      </c>
      <c r="G10" s="50" t="s">
        <v>82</v>
      </c>
    </row>
    <row r="11" spans="1:7" ht="204" customHeight="1" outlineLevel="2" x14ac:dyDescent="0.2">
      <c r="A11" s="84" t="s">
        <v>83</v>
      </c>
      <c r="B11" s="16"/>
      <c r="C11" s="16"/>
      <c r="D11" s="15" t="s">
        <v>72</v>
      </c>
      <c r="E11" s="17" t="s">
        <v>84</v>
      </c>
      <c r="F11" s="82" t="s">
        <v>85</v>
      </c>
      <c r="G11" s="50" t="s">
        <v>82</v>
      </c>
    </row>
    <row r="12" spans="1:7" outlineLevel="1" x14ac:dyDescent="0.2">
      <c r="G12" s="21"/>
    </row>
    <row r="13" spans="1:7" ht="19" customHeight="1" outlineLevel="1" x14ac:dyDescent="0.25">
      <c r="C13" s="10" t="s">
        <v>86</v>
      </c>
      <c r="G13" s="21"/>
    </row>
    <row r="14" spans="1:7" ht="164" customHeight="1" outlineLevel="2" x14ac:dyDescent="0.2">
      <c r="A14" s="83" t="s">
        <v>87</v>
      </c>
      <c r="B14" s="13"/>
      <c r="C14" s="13"/>
      <c r="D14" s="12" t="s">
        <v>62</v>
      </c>
      <c r="E14" s="14" t="s">
        <v>88</v>
      </c>
      <c r="F14" s="81" t="s">
        <v>89</v>
      </c>
      <c r="G14" s="50" t="s">
        <v>70</v>
      </c>
    </row>
    <row r="15" spans="1:7" ht="187" customHeight="1" outlineLevel="2" x14ac:dyDescent="0.2">
      <c r="A15" s="84" t="s">
        <v>90</v>
      </c>
      <c r="B15" s="16"/>
      <c r="C15" s="16"/>
      <c r="D15" s="15" t="s">
        <v>67</v>
      </c>
      <c r="E15" s="17" t="s">
        <v>91</v>
      </c>
      <c r="F15" s="82" t="s">
        <v>92</v>
      </c>
      <c r="G15" s="50" t="s">
        <v>82</v>
      </c>
    </row>
    <row r="16" spans="1:7" ht="187" customHeight="1" outlineLevel="2" x14ac:dyDescent="0.2">
      <c r="A16" s="84" t="s">
        <v>93</v>
      </c>
      <c r="B16" s="16"/>
      <c r="C16" s="16"/>
      <c r="D16" s="15" t="s">
        <v>72</v>
      </c>
      <c r="E16" s="17" t="s">
        <v>94</v>
      </c>
      <c r="F16" s="82" t="s">
        <v>95</v>
      </c>
      <c r="G16" s="50" t="s">
        <v>70</v>
      </c>
    </row>
    <row r="17" spans="1:7" ht="153" customHeight="1" outlineLevel="2" x14ac:dyDescent="0.2">
      <c r="A17" s="84" t="s">
        <v>96</v>
      </c>
      <c r="B17" s="16"/>
      <c r="C17" s="16"/>
      <c r="D17" s="15" t="s">
        <v>97</v>
      </c>
      <c r="E17" s="17" t="s">
        <v>98</v>
      </c>
      <c r="F17" s="82" t="s">
        <v>99</v>
      </c>
      <c r="G17" s="50" t="s">
        <v>70</v>
      </c>
    </row>
    <row r="18" spans="1:7" ht="204" customHeight="1" outlineLevel="2" x14ac:dyDescent="0.2">
      <c r="A18" s="84" t="s">
        <v>100</v>
      </c>
      <c r="B18" s="16"/>
      <c r="C18" s="16"/>
      <c r="D18" s="15" t="s">
        <v>101</v>
      </c>
      <c r="E18" s="17" t="s">
        <v>102</v>
      </c>
      <c r="F18" s="82" t="s">
        <v>103</v>
      </c>
      <c r="G18" s="50" t="s">
        <v>104</v>
      </c>
    </row>
    <row r="19" spans="1:7" outlineLevel="1" x14ac:dyDescent="0.2">
      <c r="G19" s="21"/>
    </row>
    <row r="20" spans="1:7" ht="19" customHeight="1" outlineLevel="1" x14ac:dyDescent="0.25">
      <c r="C20" s="10" t="s">
        <v>105</v>
      </c>
      <c r="G20" s="21"/>
    </row>
    <row r="21" spans="1:7" ht="187" customHeight="1" outlineLevel="2" x14ac:dyDescent="0.2">
      <c r="A21" s="83" t="s">
        <v>106</v>
      </c>
      <c r="B21" s="13"/>
      <c r="C21" s="13"/>
      <c r="D21" s="12" t="s">
        <v>62</v>
      </c>
      <c r="E21" s="14" t="s">
        <v>107</v>
      </c>
      <c r="F21" s="81" t="s">
        <v>108</v>
      </c>
      <c r="G21" s="50" t="s">
        <v>104</v>
      </c>
    </row>
    <row r="22" spans="1:7" ht="136" customHeight="1" outlineLevel="2" x14ac:dyDescent="0.2">
      <c r="A22" s="15" t="s">
        <v>109</v>
      </c>
      <c r="B22" s="16"/>
      <c r="C22" s="16"/>
      <c r="D22" s="15" t="s">
        <v>67</v>
      </c>
      <c r="E22" s="17" t="s">
        <v>110</v>
      </c>
      <c r="F22" s="82" t="s">
        <v>111</v>
      </c>
      <c r="G22" s="50" t="s">
        <v>82</v>
      </c>
    </row>
    <row r="23" spans="1:7" ht="204" customHeight="1" outlineLevel="2" x14ac:dyDescent="0.2">
      <c r="A23" s="15" t="s">
        <v>112</v>
      </c>
      <c r="B23" s="16"/>
      <c r="C23" s="16"/>
      <c r="D23" s="15" t="s">
        <v>72</v>
      </c>
      <c r="E23" s="17" t="s">
        <v>113</v>
      </c>
      <c r="F23" s="82" t="s">
        <v>114</v>
      </c>
      <c r="G23" s="50" t="s">
        <v>82</v>
      </c>
    </row>
    <row r="24" spans="1:7" ht="170" customHeight="1" outlineLevel="2" x14ac:dyDescent="0.2">
      <c r="A24" s="15" t="s">
        <v>115</v>
      </c>
      <c r="B24" s="16"/>
      <c r="C24" s="16"/>
      <c r="D24" s="15" t="s">
        <v>97</v>
      </c>
      <c r="E24" s="17" t="s">
        <v>116</v>
      </c>
      <c r="F24" s="82" t="s">
        <v>117</v>
      </c>
      <c r="G24" s="50" t="s">
        <v>82</v>
      </c>
    </row>
    <row r="25" spans="1:7" ht="187" customHeight="1" outlineLevel="2" x14ac:dyDescent="0.2">
      <c r="A25" s="15" t="s">
        <v>118</v>
      </c>
      <c r="B25" s="16"/>
      <c r="C25" s="16"/>
      <c r="D25" s="15" t="s">
        <v>101</v>
      </c>
      <c r="E25" s="17" t="s">
        <v>119</v>
      </c>
      <c r="F25" s="82" t="s">
        <v>120</v>
      </c>
      <c r="G25" s="50" t="s">
        <v>82</v>
      </c>
    </row>
    <row r="26" spans="1:7" outlineLevel="1" x14ac:dyDescent="0.2">
      <c r="G26" s="21"/>
    </row>
    <row r="27" spans="1:7" ht="22" customHeight="1" x14ac:dyDescent="0.3">
      <c r="B27" s="8" t="s">
        <v>121</v>
      </c>
      <c r="G27" s="21"/>
    </row>
    <row r="28" spans="1:7" ht="19" customHeight="1" outlineLevel="1" x14ac:dyDescent="0.25">
      <c r="C28" s="10" t="s">
        <v>122</v>
      </c>
      <c r="G28" s="21"/>
    </row>
    <row r="29" spans="1:7" ht="136" customHeight="1" outlineLevel="2" x14ac:dyDescent="0.2">
      <c r="A29" s="12" t="s">
        <v>123</v>
      </c>
      <c r="B29" s="13"/>
      <c r="C29" s="13"/>
      <c r="D29" s="12" t="s">
        <v>62</v>
      </c>
      <c r="E29" s="14" t="s">
        <v>124</v>
      </c>
      <c r="F29" s="81" t="s">
        <v>125</v>
      </c>
      <c r="G29" s="50" t="s">
        <v>104</v>
      </c>
    </row>
    <row r="30" spans="1:7" ht="119" customHeight="1" outlineLevel="2" x14ac:dyDescent="0.2">
      <c r="A30" s="15" t="s">
        <v>126</v>
      </c>
      <c r="B30" s="16"/>
      <c r="C30" s="16"/>
      <c r="D30" s="15" t="s">
        <v>67</v>
      </c>
      <c r="E30" s="17" t="s">
        <v>127</v>
      </c>
      <c r="F30" s="82" t="s">
        <v>128</v>
      </c>
      <c r="G30" s="50" t="s">
        <v>70</v>
      </c>
    </row>
    <row r="31" spans="1:7" ht="153" customHeight="1" outlineLevel="2" x14ac:dyDescent="0.2">
      <c r="A31" s="15" t="s">
        <v>129</v>
      </c>
      <c r="B31" s="16"/>
      <c r="C31" s="16"/>
      <c r="D31" s="15" t="s">
        <v>72</v>
      </c>
      <c r="E31" s="17" t="s">
        <v>130</v>
      </c>
      <c r="F31" s="82" t="s">
        <v>131</v>
      </c>
      <c r="G31" s="50" t="s">
        <v>104</v>
      </c>
    </row>
    <row r="32" spans="1:7" ht="136" customHeight="1" outlineLevel="2" x14ac:dyDescent="0.2">
      <c r="A32" s="15" t="s">
        <v>132</v>
      </c>
      <c r="B32" s="16"/>
      <c r="C32" s="16"/>
      <c r="D32" s="15" t="s">
        <v>97</v>
      </c>
      <c r="E32" s="17" t="s">
        <v>133</v>
      </c>
      <c r="F32" s="82" t="s">
        <v>134</v>
      </c>
      <c r="G32" s="50" t="s">
        <v>104</v>
      </c>
    </row>
    <row r="33" spans="1:7" ht="136" customHeight="1" outlineLevel="2" x14ac:dyDescent="0.2">
      <c r="A33" s="15" t="s">
        <v>135</v>
      </c>
      <c r="B33" s="16"/>
      <c r="C33" s="16"/>
      <c r="D33" s="15" t="s">
        <v>101</v>
      </c>
      <c r="E33" s="17" t="s">
        <v>136</v>
      </c>
      <c r="F33" s="82" t="s">
        <v>137</v>
      </c>
      <c r="G33" s="50" t="s">
        <v>82</v>
      </c>
    </row>
    <row r="34" spans="1:7" ht="170" customHeight="1" outlineLevel="2" x14ac:dyDescent="0.2">
      <c r="A34" s="15" t="s">
        <v>138</v>
      </c>
      <c r="B34" s="16"/>
      <c r="C34" s="16"/>
      <c r="D34" s="15" t="s">
        <v>139</v>
      </c>
      <c r="E34" s="17" t="s">
        <v>140</v>
      </c>
      <c r="F34" s="82" t="s">
        <v>141</v>
      </c>
      <c r="G34" s="50" t="s">
        <v>82</v>
      </c>
    </row>
    <row r="35" spans="1:7" outlineLevel="1" x14ac:dyDescent="0.2">
      <c r="G35" s="21"/>
    </row>
    <row r="36" spans="1:7" ht="19" customHeight="1" outlineLevel="1" x14ac:dyDescent="0.25">
      <c r="C36" s="10" t="s">
        <v>142</v>
      </c>
      <c r="G36" s="21"/>
    </row>
    <row r="37" spans="1:7" ht="136" customHeight="1" outlineLevel="2" x14ac:dyDescent="0.2">
      <c r="A37" s="12" t="s">
        <v>143</v>
      </c>
      <c r="B37" s="13"/>
      <c r="C37" s="13"/>
      <c r="D37" s="12" t="s">
        <v>62</v>
      </c>
      <c r="E37" s="14" t="s">
        <v>144</v>
      </c>
      <c r="F37" s="81" t="s">
        <v>145</v>
      </c>
      <c r="G37" s="50" t="s">
        <v>104</v>
      </c>
    </row>
    <row r="38" spans="1:7" ht="119" customHeight="1" outlineLevel="2" x14ac:dyDescent="0.2">
      <c r="A38" s="15" t="s">
        <v>146</v>
      </c>
      <c r="B38" s="16"/>
      <c r="C38" s="16"/>
      <c r="D38" s="15" t="s">
        <v>67</v>
      </c>
      <c r="E38" s="17" t="s">
        <v>147</v>
      </c>
      <c r="F38" s="82" t="s">
        <v>148</v>
      </c>
      <c r="G38" s="50" t="s">
        <v>70</v>
      </c>
    </row>
    <row r="39" spans="1:7" ht="170" customHeight="1" outlineLevel="2" x14ac:dyDescent="0.2">
      <c r="A39" s="15" t="s">
        <v>149</v>
      </c>
      <c r="B39" s="16"/>
      <c r="C39" s="16"/>
      <c r="D39" s="15" t="s">
        <v>72</v>
      </c>
      <c r="E39" s="17" t="s">
        <v>150</v>
      </c>
      <c r="F39" s="82" t="s">
        <v>151</v>
      </c>
      <c r="G39" s="50" t="s">
        <v>104</v>
      </c>
    </row>
    <row r="40" spans="1:7" ht="170" customHeight="1" outlineLevel="2" x14ac:dyDescent="0.2">
      <c r="A40" s="15" t="s">
        <v>152</v>
      </c>
      <c r="B40" s="16"/>
      <c r="C40" s="16"/>
      <c r="D40" s="15" t="s">
        <v>97</v>
      </c>
      <c r="E40" s="17" t="s">
        <v>153</v>
      </c>
      <c r="F40" s="82" t="s">
        <v>154</v>
      </c>
      <c r="G40" s="50" t="s">
        <v>82</v>
      </c>
    </row>
    <row r="41" spans="1:7" ht="102" customHeight="1" outlineLevel="2" x14ac:dyDescent="0.2">
      <c r="A41" s="15" t="s">
        <v>155</v>
      </c>
      <c r="B41" s="16"/>
      <c r="C41" s="16"/>
      <c r="D41" s="15" t="s">
        <v>101</v>
      </c>
      <c r="E41" s="17" t="s">
        <v>156</v>
      </c>
      <c r="F41" s="82" t="s">
        <v>81</v>
      </c>
      <c r="G41" s="50" t="s">
        <v>82</v>
      </c>
    </row>
    <row r="42" spans="1:7" outlineLevel="1" x14ac:dyDescent="0.2">
      <c r="G42" s="21"/>
    </row>
    <row r="43" spans="1:7" ht="19" customHeight="1" outlineLevel="1" x14ac:dyDescent="0.25">
      <c r="C43" s="10" t="s">
        <v>157</v>
      </c>
      <c r="G43" s="21"/>
    </row>
    <row r="44" spans="1:7" ht="170" customHeight="1" outlineLevel="2" x14ac:dyDescent="0.2">
      <c r="A44" s="12" t="s">
        <v>158</v>
      </c>
      <c r="B44" s="13"/>
      <c r="C44" s="13"/>
      <c r="D44" s="12" t="s">
        <v>62</v>
      </c>
      <c r="E44" s="14" t="s">
        <v>159</v>
      </c>
      <c r="F44" s="81" t="s">
        <v>160</v>
      </c>
      <c r="G44" s="50" t="s">
        <v>70</v>
      </c>
    </row>
    <row r="45" spans="1:7" ht="187" customHeight="1" outlineLevel="2" x14ac:dyDescent="0.2">
      <c r="A45" s="15" t="s">
        <v>161</v>
      </c>
      <c r="B45" s="16"/>
      <c r="C45" s="16"/>
      <c r="D45" s="15" t="s">
        <v>67</v>
      </c>
      <c r="E45" s="17" t="s">
        <v>162</v>
      </c>
      <c r="F45" s="82" t="s">
        <v>163</v>
      </c>
      <c r="G45" s="50" t="s">
        <v>70</v>
      </c>
    </row>
    <row r="46" spans="1:7" ht="170" customHeight="1" outlineLevel="2" x14ac:dyDescent="0.2">
      <c r="A46" s="15" t="s">
        <v>164</v>
      </c>
      <c r="B46" s="16"/>
      <c r="C46" s="16"/>
      <c r="D46" s="15" t="s">
        <v>72</v>
      </c>
      <c r="E46" s="17" t="s">
        <v>165</v>
      </c>
      <c r="F46" s="82" t="s">
        <v>69</v>
      </c>
      <c r="G46" s="50" t="s">
        <v>70</v>
      </c>
    </row>
    <row r="47" spans="1:7" ht="170" customHeight="1" outlineLevel="2" x14ac:dyDescent="0.2">
      <c r="A47" s="15" t="s">
        <v>166</v>
      </c>
      <c r="B47" s="16"/>
      <c r="C47" s="16"/>
      <c r="D47" s="15" t="s">
        <v>97</v>
      </c>
      <c r="E47" s="17" t="s">
        <v>167</v>
      </c>
      <c r="F47" s="82" t="s">
        <v>85</v>
      </c>
      <c r="G47" s="50" t="s">
        <v>82</v>
      </c>
    </row>
    <row r="48" spans="1:7" ht="136" customHeight="1" outlineLevel="2" x14ac:dyDescent="0.2">
      <c r="A48" s="15" t="s">
        <v>168</v>
      </c>
      <c r="B48" s="16"/>
      <c r="C48" s="16"/>
      <c r="D48" s="15" t="s">
        <v>101</v>
      </c>
      <c r="E48" s="17" t="s">
        <v>169</v>
      </c>
      <c r="F48" s="82" t="s">
        <v>74</v>
      </c>
      <c r="G48" s="50" t="s">
        <v>70</v>
      </c>
    </row>
    <row r="49" spans="1:7" outlineLevel="1" x14ac:dyDescent="0.2">
      <c r="G49" s="21"/>
    </row>
    <row r="50" spans="1:7" ht="19" customHeight="1" outlineLevel="1" x14ac:dyDescent="0.25">
      <c r="C50" s="10" t="s">
        <v>170</v>
      </c>
      <c r="G50" s="21"/>
    </row>
    <row r="51" spans="1:7" ht="119" customHeight="1" outlineLevel="2" x14ac:dyDescent="0.2">
      <c r="A51" s="12" t="s">
        <v>171</v>
      </c>
      <c r="B51" s="13"/>
      <c r="C51" s="13"/>
      <c r="D51" s="12" t="s">
        <v>62</v>
      </c>
      <c r="E51" s="14" t="s">
        <v>172</v>
      </c>
      <c r="F51" s="81" t="s">
        <v>173</v>
      </c>
      <c r="G51" s="50" t="s">
        <v>104</v>
      </c>
    </row>
    <row r="52" spans="1:7" ht="136" customHeight="1" outlineLevel="2" x14ac:dyDescent="0.2">
      <c r="A52" s="15" t="s">
        <v>174</v>
      </c>
      <c r="B52" s="16"/>
      <c r="C52" s="16"/>
      <c r="D52" s="15" t="s">
        <v>67</v>
      </c>
      <c r="E52" s="17" t="s">
        <v>175</v>
      </c>
      <c r="F52" s="82" t="s">
        <v>92</v>
      </c>
      <c r="G52" s="50" t="s">
        <v>82</v>
      </c>
    </row>
    <row r="53" spans="1:7" ht="136" customHeight="1" outlineLevel="2" x14ac:dyDescent="0.2">
      <c r="A53" s="15" t="s">
        <v>176</v>
      </c>
      <c r="B53" s="16"/>
      <c r="C53" s="16"/>
      <c r="D53" s="15" t="s">
        <v>72</v>
      </c>
      <c r="E53" s="17" t="s">
        <v>177</v>
      </c>
      <c r="F53" s="82" t="s">
        <v>178</v>
      </c>
      <c r="G53" s="50" t="s">
        <v>104</v>
      </c>
    </row>
    <row r="54" spans="1:7" ht="136" customHeight="1" outlineLevel="2" x14ac:dyDescent="0.2">
      <c r="A54" s="15" t="s">
        <v>179</v>
      </c>
      <c r="B54" s="16"/>
      <c r="C54" s="16"/>
      <c r="D54" s="15" t="s">
        <v>97</v>
      </c>
      <c r="E54" s="17" t="s">
        <v>180</v>
      </c>
      <c r="F54" s="82" t="s">
        <v>111</v>
      </c>
      <c r="G54" s="50" t="s">
        <v>82</v>
      </c>
    </row>
    <row r="55" spans="1:7" outlineLevel="1" x14ac:dyDescent="0.2">
      <c r="G55" s="21"/>
    </row>
    <row r="56" spans="1:7" ht="19" customHeight="1" outlineLevel="1" x14ac:dyDescent="0.25">
      <c r="C56" s="10" t="s">
        <v>181</v>
      </c>
      <c r="G56" s="21"/>
    </row>
    <row r="57" spans="1:7" ht="170" customHeight="1" outlineLevel="2" x14ac:dyDescent="0.2">
      <c r="A57" s="12" t="s">
        <v>182</v>
      </c>
      <c r="B57" s="13"/>
      <c r="C57" s="13"/>
      <c r="D57" s="12" t="s">
        <v>62</v>
      </c>
      <c r="E57" s="14" t="s">
        <v>183</v>
      </c>
      <c r="F57" s="81" t="s">
        <v>78</v>
      </c>
      <c r="G57" s="50" t="s">
        <v>70</v>
      </c>
    </row>
    <row r="58" spans="1:7" ht="170" customHeight="1" outlineLevel="2" x14ac:dyDescent="0.2">
      <c r="A58" s="15" t="s">
        <v>184</v>
      </c>
      <c r="B58" s="16"/>
      <c r="C58" s="16"/>
      <c r="D58" s="15" t="s">
        <v>67</v>
      </c>
      <c r="E58" s="17" t="s">
        <v>185</v>
      </c>
      <c r="F58" s="82" t="s">
        <v>186</v>
      </c>
      <c r="G58" s="50" t="s">
        <v>104</v>
      </c>
    </row>
    <row r="59" spans="1:7" ht="136" customHeight="1" outlineLevel="2" x14ac:dyDescent="0.2">
      <c r="A59" s="15" t="s">
        <v>187</v>
      </c>
      <c r="B59" s="16"/>
      <c r="C59" s="16"/>
      <c r="D59" s="15" t="s">
        <v>72</v>
      </c>
      <c r="E59" s="17" t="s">
        <v>188</v>
      </c>
      <c r="F59" s="82" t="s">
        <v>189</v>
      </c>
      <c r="G59" s="50" t="s">
        <v>190</v>
      </c>
    </row>
    <row r="60" spans="1:7" ht="102" customHeight="1" outlineLevel="2" x14ac:dyDescent="0.2">
      <c r="A60" s="15" t="s">
        <v>191</v>
      </c>
      <c r="B60" s="16"/>
      <c r="C60" s="16"/>
      <c r="D60" s="15" t="s">
        <v>97</v>
      </c>
      <c r="E60" s="17" t="s">
        <v>192</v>
      </c>
      <c r="F60" s="82" t="s">
        <v>103</v>
      </c>
      <c r="G60" s="50" t="s">
        <v>104</v>
      </c>
    </row>
    <row r="61" spans="1:7" ht="102" customHeight="1" outlineLevel="2" x14ac:dyDescent="0.2">
      <c r="A61" s="15" t="s">
        <v>193</v>
      </c>
      <c r="B61" s="16"/>
      <c r="C61" s="16"/>
      <c r="D61" s="15" t="s">
        <v>101</v>
      </c>
      <c r="E61" s="17" t="s">
        <v>194</v>
      </c>
      <c r="F61" s="82" t="s">
        <v>114</v>
      </c>
      <c r="G61" s="50" t="s">
        <v>82</v>
      </c>
    </row>
    <row r="62" spans="1:7" outlineLevel="1" x14ac:dyDescent="0.2">
      <c r="G62" s="21"/>
    </row>
    <row r="63" spans="1:7" ht="19" customHeight="1" outlineLevel="1" x14ac:dyDescent="0.25">
      <c r="C63" s="10" t="s">
        <v>195</v>
      </c>
      <c r="G63" s="21"/>
    </row>
    <row r="64" spans="1:7" ht="119" customHeight="1" outlineLevel="2" x14ac:dyDescent="0.2">
      <c r="A64" s="12" t="s">
        <v>196</v>
      </c>
      <c r="B64" s="13"/>
      <c r="C64" s="13"/>
      <c r="D64" s="12" t="s">
        <v>62</v>
      </c>
      <c r="E64" s="14" t="s">
        <v>197</v>
      </c>
      <c r="F64" s="81" t="s">
        <v>117</v>
      </c>
      <c r="G64" s="50" t="s">
        <v>82</v>
      </c>
    </row>
    <row r="65" spans="1:7" ht="136" customHeight="1" outlineLevel="2" x14ac:dyDescent="0.2">
      <c r="A65" s="15" t="s">
        <v>198</v>
      </c>
      <c r="B65" s="16"/>
      <c r="C65" s="16"/>
      <c r="D65" s="15" t="s">
        <v>67</v>
      </c>
      <c r="E65" s="17" t="s">
        <v>199</v>
      </c>
      <c r="F65" s="82" t="s">
        <v>108</v>
      </c>
      <c r="G65" s="50" t="s">
        <v>104</v>
      </c>
    </row>
    <row r="66" spans="1:7" ht="136" customHeight="1" outlineLevel="2" x14ac:dyDescent="0.2">
      <c r="A66" s="15" t="s">
        <v>200</v>
      </c>
      <c r="B66" s="16"/>
      <c r="C66" s="16"/>
      <c r="D66" s="15" t="s">
        <v>72</v>
      </c>
      <c r="E66" s="17" t="s">
        <v>201</v>
      </c>
      <c r="F66" s="82" t="s">
        <v>125</v>
      </c>
      <c r="G66" s="50" t="s">
        <v>104</v>
      </c>
    </row>
    <row r="67" spans="1:7" ht="153" customHeight="1" outlineLevel="2" x14ac:dyDescent="0.2">
      <c r="A67" s="15" t="s">
        <v>202</v>
      </c>
      <c r="B67" s="16"/>
      <c r="C67" s="16"/>
      <c r="D67" s="15" t="s">
        <v>97</v>
      </c>
      <c r="E67" s="17" t="s">
        <v>203</v>
      </c>
      <c r="F67" s="82" t="s">
        <v>131</v>
      </c>
      <c r="G67" s="50" t="s">
        <v>104</v>
      </c>
    </row>
    <row r="68" spans="1:7" ht="119" customHeight="1" outlineLevel="2" x14ac:dyDescent="0.2">
      <c r="A68" s="15" t="s">
        <v>204</v>
      </c>
      <c r="B68" s="16"/>
      <c r="C68" s="16"/>
      <c r="D68" s="15" t="s">
        <v>101</v>
      </c>
      <c r="E68" s="17" t="s">
        <v>205</v>
      </c>
      <c r="F68" s="82" t="s">
        <v>134</v>
      </c>
      <c r="G68" s="50" t="s">
        <v>104</v>
      </c>
    </row>
    <row r="69" spans="1:7" outlineLevel="1" x14ac:dyDescent="0.2">
      <c r="G69" s="21"/>
    </row>
    <row r="70" spans="1:7" ht="22" customHeight="1" x14ac:dyDescent="0.3">
      <c r="B70" s="8" t="s">
        <v>206</v>
      </c>
      <c r="G70" s="21"/>
    </row>
    <row r="71" spans="1:7" ht="19" customHeight="1" outlineLevel="1" x14ac:dyDescent="0.25">
      <c r="C71" s="10" t="s">
        <v>746</v>
      </c>
      <c r="G71" s="21"/>
    </row>
    <row r="72" spans="1:7" ht="187" customHeight="1" outlineLevel="2" x14ac:dyDescent="0.2">
      <c r="A72" s="12" t="s">
        <v>208</v>
      </c>
      <c r="B72" s="13"/>
      <c r="C72" s="13"/>
      <c r="D72" s="12" t="s">
        <v>62</v>
      </c>
      <c r="E72" s="14" t="s">
        <v>209</v>
      </c>
      <c r="F72" s="81" t="s">
        <v>120</v>
      </c>
      <c r="G72" s="50" t="s">
        <v>82</v>
      </c>
    </row>
    <row r="73" spans="1:7" ht="136" customHeight="1" outlineLevel="2" x14ac:dyDescent="0.2">
      <c r="A73" s="15" t="s">
        <v>210</v>
      </c>
      <c r="B73" s="16"/>
      <c r="C73" s="16"/>
      <c r="D73" s="15" t="s">
        <v>67</v>
      </c>
      <c r="E73" s="17" t="s">
        <v>211</v>
      </c>
      <c r="F73" s="82" t="s">
        <v>137</v>
      </c>
      <c r="G73" s="50" t="s">
        <v>82</v>
      </c>
    </row>
    <row r="74" spans="1:7" ht="153" customHeight="1" outlineLevel="2" x14ac:dyDescent="0.2">
      <c r="A74" s="15" t="s">
        <v>212</v>
      </c>
      <c r="B74" s="16"/>
      <c r="C74" s="16"/>
      <c r="D74" s="15" t="s">
        <v>72</v>
      </c>
      <c r="E74" s="17" t="s">
        <v>213</v>
      </c>
      <c r="F74" s="82" t="s">
        <v>89</v>
      </c>
      <c r="G74" s="50" t="s">
        <v>70</v>
      </c>
    </row>
    <row r="75" spans="1:7" outlineLevel="1" x14ac:dyDescent="0.2">
      <c r="G75" s="21"/>
    </row>
    <row r="76" spans="1:7" ht="19" customHeight="1" outlineLevel="1" x14ac:dyDescent="0.25">
      <c r="C76" s="10" t="s">
        <v>214</v>
      </c>
      <c r="G76" s="21"/>
    </row>
    <row r="77" spans="1:7" ht="170" customHeight="1" outlineLevel="2" x14ac:dyDescent="0.2">
      <c r="A77" s="12" t="s">
        <v>215</v>
      </c>
      <c r="B77" s="13"/>
      <c r="C77" s="13"/>
      <c r="D77" s="12" t="s">
        <v>62</v>
      </c>
      <c r="E77" s="14" t="s">
        <v>216</v>
      </c>
      <c r="F77" s="91" t="s">
        <v>145</v>
      </c>
      <c r="G77" s="50" t="s">
        <v>104</v>
      </c>
    </row>
    <row r="78" spans="1:7" ht="153" customHeight="1" outlineLevel="2" x14ac:dyDescent="0.2">
      <c r="A78" s="15" t="s">
        <v>217</v>
      </c>
      <c r="B78" s="16"/>
      <c r="C78" s="16"/>
      <c r="D78" s="15" t="s">
        <v>67</v>
      </c>
      <c r="E78" s="17" t="s">
        <v>218</v>
      </c>
      <c r="F78" s="82" t="s">
        <v>219</v>
      </c>
      <c r="G78" s="51" t="s">
        <v>65</v>
      </c>
    </row>
    <row r="79" spans="1:7" ht="136" customHeight="1" outlineLevel="2" x14ac:dyDescent="0.2">
      <c r="A79" s="15" t="s">
        <v>220</v>
      </c>
      <c r="B79" s="16"/>
      <c r="C79" s="16"/>
      <c r="D79" s="15" t="s">
        <v>72</v>
      </c>
      <c r="E79" s="17" t="s">
        <v>221</v>
      </c>
      <c r="F79" s="82" t="s">
        <v>222</v>
      </c>
      <c r="G79" s="51" t="s">
        <v>65</v>
      </c>
    </row>
    <row r="80" spans="1:7" ht="153" customHeight="1" outlineLevel="2" x14ac:dyDescent="0.2">
      <c r="A80" s="15" t="s">
        <v>223</v>
      </c>
      <c r="B80" s="16"/>
      <c r="C80" s="16"/>
      <c r="D80" s="15" t="s">
        <v>97</v>
      </c>
      <c r="E80" s="17" t="s">
        <v>224</v>
      </c>
      <c r="F80" s="82" t="s">
        <v>151</v>
      </c>
      <c r="G80" s="51" t="s">
        <v>104</v>
      </c>
    </row>
    <row r="81" spans="1:7" ht="136" customHeight="1" outlineLevel="2" x14ac:dyDescent="0.2">
      <c r="A81" s="15" t="s">
        <v>225</v>
      </c>
      <c r="B81" s="16"/>
      <c r="C81" s="16"/>
      <c r="D81" s="15" t="s">
        <v>101</v>
      </c>
      <c r="E81" s="17" t="s">
        <v>226</v>
      </c>
      <c r="F81" s="82" t="s">
        <v>141</v>
      </c>
      <c r="G81" s="51" t="s">
        <v>82</v>
      </c>
    </row>
    <row r="82" spans="1:7" ht="136" customHeight="1" outlineLevel="2" x14ac:dyDescent="0.2">
      <c r="A82" s="15" t="s">
        <v>227</v>
      </c>
      <c r="B82" s="16"/>
      <c r="C82" s="16"/>
      <c r="D82" s="15" t="s">
        <v>139</v>
      </c>
      <c r="E82" s="17" t="s">
        <v>228</v>
      </c>
      <c r="F82" s="82" t="s">
        <v>173</v>
      </c>
      <c r="G82" s="51" t="s">
        <v>104</v>
      </c>
    </row>
    <row r="83" spans="1:7" outlineLevel="1" x14ac:dyDescent="0.2">
      <c r="G83" s="21"/>
    </row>
    <row r="84" spans="1:7" ht="19" customHeight="1" outlineLevel="1" x14ac:dyDescent="0.25">
      <c r="C84" s="10" t="s">
        <v>229</v>
      </c>
      <c r="G84" s="21"/>
    </row>
    <row r="85" spans="1:7" ht="153" customHeight="1" outlineLevel="2" x14ac:dyDescent="0.2">
      <c r="A85" s="12" t="s">
        <v>230</v>
      </c>
      <c r="B85" s="13"/>
      <c r="C85" s="13"/>
      <c r="D85" s="12" t="s">
        <v>62</v>
      </c>
      <c r="E85" s="14" t="s">
        <v>231</v>
      </c>
      <c r="F85" s="81" t="s">
        <v>95</v>
      </c>
      <c r="G85" s="50" t="s">
        <v>70</v>
      </c>
    </row>
    <row r="86" spans="1:7" ht="136" customHeight="1" outlineLevel="2" x14ac:dyDescent="0.2">
      <c r="A86" s="15" t="s">
        <v>232</v>
      </c>
      <c r="B86" s="16"/>
      <c r="C86" s="16"/>
      <c r="D86" s="15" t="s">
        <v>67</v>
      </c>
      <c r="E86" s="17" t="s">
        <v>233</v>
      </c>
      <c r="F86" s="82" t="s">
        <v>178</v>
      </c>
      <c r="G86" s="51" t="s">
        <v>104</v>
      </c>
    </row>
    <row r="87" spans="1:7" ht="136" customHeight="1" outlineLevel="2" x14ac:dyDescent="0.2">
      <c r="A87" s="15" t="s">
        <v>234</v>
      </c>
      <c r="B87" s="16"/>
      <c r="C87" s="16"/>
      <c r="D87" s="15" t="s">
        <v>72</v>
      </c>
      <c r="E87" s="17" t="s">
        <v>235</v>
      </c>
      <c r="F87" s="82" t="s">
        <v>186</v>
      </c>
      <c r="G87" s="51" t="s">
        <v>104</v>
      </c>
    </row>
    <row r="88" spans="1:7" outlineLevel="1" x14ac:dyDescent="0.2">
      <c r="G88" s="21"/>
    </row>
    <row r="89" spans="1:7" ht="22" customHeight="1" x14ac:dyDescent="0.3">
      <c r="B89" s="8" t="s">
        <v>236</v>
      </c>
      <c r="G89" s="21"/>
    </row>
    <row r="90" spans="1:7" ht="19" customHeight="1" outlineLevel="1" x14ac:dyDescent="0.25">
      <c r="C90" s="10" t="s">
        <v>237</v>
      </c>
      <c r="G90" s="21"/>
    </row>
    <row r="91" spans="1:7" ht="153" customHeight="1" outlineLevel="2" x14ac:dyDescent="0.2">
      <c r="A91" s="12" t="s">
        <v>238</v>
      </c>
      <c r="B91" s="13"/>
      <c r="C91" s="13"/>
      <c r="D91" s="12" t="s">
        <v>62</v>
      </c>
      <c r="E91" s="14" t="s">
        <v>239</v>
      </c>
      <c r="F91" s="81" t="s">
        <v>103</v>
      </c>
      <c r="G91" s="50" t="s">
        <v>104</v>
      </c>
    </row>
    <row r="92" spans="1:7" ht="221" customHeight="1" outlineLevel="2" x14ac:dyDescent="0.2">
      <c r="A92" s="15" t="s">
        <v>240</v>
      </c>
      <c r="B92" s="16"/>
      <c r="C92" s="16"/>
      <c r="D92" s="15" t="s">
        <v>67</v>
      </c>
      <c r="E92" s="17" t="s">
        <v>241</v>
      </c>
      <c r="F92" s="82" t="s">
        <v>108</v>
      </c>
      <c r="G92" s="51" t="s">
        <v>104</v>
      </c>
    </row>
    <row r="93" spans="1:7" ht="187" customHeight="1" outlineLevel="2" x14ac:dyDescent="0.2">
      <c r="A93" s="15" t="s">
        <v>242</v>
      </c>
      <c r="B93" s="16"/>
      <c r="C93" s="16"/>
      <c r="D93" s="15" t="s">
        <v>72</v>
      </c>
      <c r="E93" s="17" t="s">
        <v>243</v>
      </c>
      <c r="F93" s="82" t="s">
        <v>99</v>
      </c>
      <c r="G93" s="51" t="s">
        <v>70</v>
      </c>
    </row>
    <row r="94" spans="1:7" ht="187" customHeight="1" outlineLevel="2" x14ac:dyDescent="0.2">
      <c r="A94" s="15" t="s">
        <v>244</v>
      </c>
      <c r="B94" s="16"/>
      <c r="C94" s="16"/>
      <c r="D94" s="15" t="s">
        <v>97</v>
      </c>
      <c r="E94" s="17" t="s">
        <v>245</v>
      </c>
      <c r="F94" s="82" t="s">
        <v>125</v>
      </c>
      <c r="G94" s="51" t="s">
        <v>104</v>
      </c>
    </row>
    <row r="95" spans="1:7" ht="136" customHeight="1" outlineLevel="2" x14ac:dyDescent="0.2">
      <c r="A95" s="15" t="s">
        <v>246</v>
      </c>
      <c r="B95" s="16"/>
      <c r="C95" s="16"/>
      <c r="D95" s="15" t="s">
        <v>101</v>
      </c>
      <c r="E95" s="17" t="s">
        <v>247</v>
      </c>
      <c r="F95" s="82" t="s">
        <v>131</v>
      </c>
      <c r="G95" s="51" t="s">
        <v>104</v>
      </c>
    </row>
    <row r="96" spans="1:7" outlineLevel="1" x14ac:dyDescent="0.2">
      <c r="G96" s="21"/>
    </row>
    <row r="97" spans="1:7" ht="19" customHeight="1" outlineLevel="1" x14ac:dyDescent="0.25">
      <c r="C97" s="10" t="s">
        <v>248</v>
      </c>
      <c r="G97" s="21"/>
    </row>
    <row r="98" spans="1:7" ht="136" customHeight="1" outlineLevel="2" x14ac:dyDescent="0.2">
      <c r="A98" s="12" t="s">
        <v>249</v>
      </c>
      <c r="B98" s="13"/>
      <c r="C98" s="13"/>
      <c r="D98" s="12" t="s">
        <v>62</v>
      </c>
      <c r="E98" s="14" t="s">
        <v>250</v>
      </c>
      <c r="F98" s="81" t="s">
        <v>134</v>
      </c>
      <c r="G98" s="50" t="s">
        <v>104</v>
      </c>
    </row>
    <row r="99" spans="1:7" ht="136" customHeight="1" outlineLevel="2" x14ac:dyDescent="0.2">
      <c r="A99" s="15" t="s">
        <v>251</v>
      </c>
      <c r="B99" s="16"/>
      <c r="C99" s="16"/>
      <c r="D99" s="15" t="s">
        <v>67</v>
      </c>
      <c r="E99" s="17" t="s">
        <v>252</v>
      </c>
      <c r="F99" s="82" t="s">
        <v>253</v>
      </c>
      <c r="G99" s="51" t="s">
        <v>65</v>
      </c>
    </row>
    <row r="100" spans="1:7" ht="119" customHeight="1" outlineLevel="2" x14ac:dyDescent="0.2">
      <c r="A100" s="15" t="s">
        <v>254</v>
      </c>
      <c r="B100" s="16"/>
      <c r="C100" s="16"/>
      <c r="D100" s="15" t="s">
        <v>72</v>
      </c>
      <c r="E100" s="17" t="s">
        <v>255</v>
      </c>
      <c r="F100" s="82" t="s">
        <v>145</v>
      </c>
      <c r="G100" s="51" t="s">
        <v>104</v>
      </c>
    </row>
    <row r="101" spans="1:7" ht="136" customHeight="1" outlineLevel="2" x14ac:dyDescent="0.2">
      <c r="A101" s="15" t="s">
        <v>256</v>
      </c>
      <c r="B101" s="16"/>
      <c r="C101" s="16"/>
      <c r="D101" s="15" t="s">
        <v>97</v>
      </c>
      <c r="E101" s="17" t="s">
        <v>257</v>
      </c>
      <c r="F101" s="82" t="s">
        <v>154</v>
      </c>
      <c r="G101" s="51" t="s">
        <v>82</v>
      </c>
    </row>
    <row r="102" spans="1:7" ht="119" customHeight="1" outlineLevel="2" x14ac:dyDescent="0.2">
      <c r="A102" s="15" t="s">
        <v>258</v>
      </c>
      <c r="B102" s="16"/>
      <c r="C102" s="16"/>
      <c r="D102" s="15" t="s">
        <v>101</v>
      </c>
      <c r="E102" s="17" t="s">
        <v>259</v>
      </c>
      <c r="F102" s="82" t="s">
        <v>260</v>
      </c>
      <c r="G102" s="51" t="s">
        <v>65</v>
      </c>
    </row>
    <row r="103" spans="1:7" outlineLevel="1" x14ac:dyDescent="0.2">
      <c r="G103" s="21"/>
    </row>
    <row r="104" spans="1:7" ht="19" customHeight="1" outlineLevel="1" x14ac:dyDescent="0.25">
      <c r="C104" s="10" t="s">
        <v>261</v>
      </c>
      <c r="G104" s="21"/>
    </row>
    <row r="105" spans="1:7" ht="136" customHeight="1" outlineLevel="2" x14ac:dyDescent="0.2">
      <c r="A105" s="12" t="s">
        <v>262</v>
      </c>
      <c r="B105" s="13"/>
      <c r="C105" s="13"/>
      <c r="D105" s="12" t="s">
        <v>62</v>
      </c>
      <c r="E105" s="14" t="s">
        <v>263</v>
      </c>
      <c r="F105" s="81" t="s">
        <v>81</v>
      </c>
      <c r="G105" s="50" t="s">
        <v>82</v>
      </c>
    </row>
    <row r="106" spans="1:7" ht="153" customHeight="1" outlineLevel="2" x14ac:dyDescent="0.2">
      <c r="A106" s="15" t="s">
        <v>264</v>
      </c>
      <c r="B106" s="16"/>
      <c r="C106" s="16"/>
      <c r="D106" s="15" t="s">
        <v>67</v>
      </c>
      <c r="E106" s="17" t="s">
        <v>265</v>
      </c>
      <c r="F106" s="82" t="s">
        <v>85</v>
      </c>
      <c r="G106" s="51" t="s">
        <v>82</v>
      </c>
    </row>
    <row r="107" spans="1:7" ht="187" customHeight="1" outlineLevel="2" x14ac:dyDescent="0.2">
      <c r="A107" s="15" t="s">
        <v>266</v>
      </c>
      <c r="B107" s="16"/>
      <c r="C107" s="16"/>
      <c r="D107" s="15" t="s">
        <v>72</v>
      </c>
      <c r="E107" s="17" t="s">
        <v>267</v>
      </c>
      <c r="F107" s="82" t="s">
        <v>92</v>
      </c>
      <c r="G107" s="51" t="s">
        <v>82</v>
      </c>
    </row>
    <row r="108" spans="1:7" ht="170" customHeight="1" outlineLevel="2" x14ac:dyDescent="0.2">
      <c r="A108" s="15" t="s">
        <v>268</v>
      </c>
      <c r="B108" s="16"/>
      <c r="C108" s="16"/>
      <c r="D108" s="15" t="s">
        <v>97</v>
      </c>
      <c r="E108" s="17" t="s">
        <v>269</v>
      </c>
      <c r="F108" s="82" t="s">
        <v>111</v>
      </c>
      <c r="G108" s="51" t="s">
        <v>82</v>
      </c>
    </row>
    <row r="109" spans="1:7" ht="119" customHeight="1" outlineLevel="2" x14ac:dyDescent="0.2">
      <c r="A109" s="15" t="s">
        <v>270</v>
      </c>
      <c r="B109" s="16"/>
      <c r="C109" s="16"/>
      <c r="D109" s="15" t="s">
        <v>101</v>
      </c>
      <c r="E109" s="17" t="s">
        <v>271</v>
      </c>
      <c r="F109" s="82" t="s">
        <v>151</v>
      </c>
      <c r="G109" s="51" t="s">
        <v>104</v>
      </c>
    </row>
    <row r="110" spans="1:7" ht="119" customHeight="1" outlineLevel="2" x14ac:dyDescent="0.2">
      <c r="A110" s="15" t="s">
        <v>272</v>
      </c>
      <c r="B110" s="16"/>
      <c r="C110" s="16"/>
      <c r="D110" s="15" t="s">
        <v>139</v>
      </c>
      <c r="E110" s="17" t="s">
        <v>273</v>
      </c>
      <c r="F110" s="92" t="s">
        <v>274</v>
      </c>
      <c r="G110" s="51" t="s">
        <v>190</v>
      </c>
    </row>
    <row r="111" spans="1:7" outlineLevel="1" x14ac:dyDescent="0.2">
      <c r="G111" s="21"/>
    </row>
    <row r="112" spans="1:7" ht="19" customHeight="1" outlineLevel="1" x14ac:dyDescent="0.25">
      <c r="C112" s="10" t="s">
        <v>275</v>
      </c>
      <c r="G112" s="21"/>
    </row>
    <row r="113" spans="1:7" ht="136" customHeight="1" outlineLevel="2" x14ac:dyDescent="0.2">
      <c r="A113" s="12" t="s">
        <v>276</v>
      </c>
      <c r="B113" s="13"/>
      <c r="C113" s="13"/>
      <c r="D113" s="12" t="s">
        <v>62</v>
      </c>
      <c r="E113" s="14" t="s">
        <v>277</v>
      </c>
      <c r="F113" s="81" t="s">
        <v>128</v>
      </c>
      <c r="G113" s="50" t="s">
        <v>70</v>
      </c>
    </row>
    <row r="114" spans="1:7" ht="136" customHeight="1" outlineLevel="2" x14ac:dyDescent="0.2">
      <c r="A114" s="15" t="s">
        <v>278</v>
      </c>
      <c r="B114" s="16"/>
      <c r="C114" s="16"/>
      <c r="D114" s="15" t="s">
        <v>67</v>
      </c>
      <c r="E114" s="17" t="s">
        <v>279</v>
      </c>
      <c r="F114" s="92" t="s">
        <v>280</v>
      </c>
      <c r="G114" s="51" t="s">
        <v>281</v>
      </c>
    </row>
    <row r="115" spans="1:7" ht="119" customHeight="1" outlineLevel="2" x14ac:dyDescent="0.2">
      <c r="A115" s="15" t="s">
        <v>282</v>
      </c>
      <c r="B115" s="16"/>
      <c r="C115" s="16"/>
      <c r="D115" s="15" t="s">
        <v>72</v>
      </c>
      <c r="E115" s="17" t="s">
        <v>283</v>
      </c>
      <c r="F115" s="82" t="s">
        <v>148</v>
      </c>
      <c r="G115" s="51" t="s">
        <v>70</v>
      </c>
    </row>
    <row r="116" spans="1:7" ht="136" customHeight="1" outlineLevel="2" x14ac:dyDescent="0.2">
      <c r="A116" s="15" t="s">
        <v>284</v>
      </c>
      <c r="B116" s="16"/>
      <c r="C116" s="16"/>
      <c r="D116" s="15" t="s">
        <v>97</v>
      </c>
      <c r="E116" s="17" t="s">
        <v>285</v>
      </c>
      <c r="F116" s="82" t="s">
        <v>160</v>
      </c>
      <c r="G116" s="51" t="s">
        <v>70</v>
      </c>
    </row>
    <row r="117" spans="1:7" outlineLevel="1" x14ac:dyDescent="0.2">
      <c r="G117" s="21"/>
    </row>
    <row r="118" spans="1:7" ht="19" customHeight="1" outlineLevel="1" x14ac:dyDescent="0.25">
      <c r="C118" s="10" t="s">
        <v>286</v>
      </c>
      <c r="G118" s="21"/>
    </row>
    <row r="119" spans="1:7" ht="136" customHeight="1" outlineLevel="2" x14ac:dyDescent="0.2">
      <c r="A119" s="12" t="s">
        <v>287</v>
      </c>
      <c r="B119" s="13"/>
      <c r="C119" s="13"/>
      <c r="D119" s="12" t="s">
        <v>62</v>
      </c>
      <c r="E119" s="14" t="s">
        <v>288</v>
      </c>
      <c r="F119" s="81" t="s">
        <v>114</v>
      </c>
      <c r="G119" s="50" t="s">
        <v>82</v>
      </c>
    </row>
    <row r="120" spans="1:7" ht="136" customHeight="1" outlineLevel="2" x14ac:dyDescent="0.2">
      <c r="A120" s="15" t="s">
        <v>289</v>
      </c>
      <c r="B120" s="16"/>
      <c r="C120" s="16"/>
      <c r="D120" s="15" t="s">
        <v>67</v>
      </c>
      <c r="E120" s="17" t="s">
        <v>290</v>
      </c>
      <c r="F120" s="82" t="s">
        <v>173</v>
      </c>
      <c r="G120" s="51" t="s">
        <v>104</v>
      </c>
    </row>
    <row r="121" spans="1:7" ht="136" customHeight="1" outlineLevel="2" x14ac:dyDescent="0.2">
      <c r="A121" s="15" t="s">
        <v>291</v>
      </c>
      <c r="B121" s="16"/>
      <c r="C121" s="16"/>
      <c r="D121" s="15" t="s">
        <v>72</v>
      </c>
      <c r="E121" s="17" t="s">
        <v>292</v>
      </c>
      <c r="F121" s="82" t="s">
        <v>293</v>
      </c>
      <c r="G121" s="51" t="s">
        <v>65</v>
      </c>
    </row>
    <row r="122" spans="1:7" ht="136" customHeight="1" outlineLevel="2" x14ac:dyDescent="0.2">
      <c r="A122" s="15" t="s">
        <v>294</v>
      </c>
      <c r="B122" s="16"/>
      <c r="C122" s="16"/>
      <c r="D122" s="15" t="s">
        <v>97</v>
      </c>
      <c r="E122" s="17" t="s">
        <v>295</v>
      </c>
      <c r="F122" s="92" t="s">
        <v>296</v>
      </c>
      <c r="G122" s="51" t="s">
        <v>281</v>
      </c>
    </row>
    <row r="123" spans="1:7" ht="136" customHeight="1" outlineLevel="2" x14ac:dyDescent="0.2">
      <c r="A123" s="15" t="s">
        <v>297</v>
      </c>
      <c r="B123" s="16"/>
      <c r="C123" s="16"/>
      <c r="D123" s="15" t="s">
        <v>101</v>
      </c>
      <c r="E123" s="17" t="s">
        <v>298</v>
      </c>
      <c r="F123" s="92" t="s">
        <v>299</v>
      </c>
      <c r="G123" s="51" t="s">
        <v>190</v>
      </c>
    </row>
    <row r="124" spans="1:7" outlineLevel="1" x14ac:dyDescent="0.2">
      <c r="G124" s="21"/>
    </row>
    <row r="125" spans="1:7" ht="19" customHeight="1" outlineLevel="1" x14ac:dyDescent="0.25">
      <c r="C125" s="10" t="s">
        <v>300</v>
      </c>
      <c r="G125" s="21"/>
    </row>
    <row r="126" spans="1:7" ht="102" customHeight="1" outlineLevel="2" x14ac:dyDescent="0.2">
      <c r="A126" s="12" t="s">
        <v>301</v>
      </c>
      <c r="B126" s="13"/>
      <c r="C126" s="13"/>
      <c r="D126" s="12" t="s">
        <v>62</v>
      </c>
      <c r="E126" s="14" t="s">
        <v>302</v>
      </c>
      <c r="F126" s="81" t="s">
        <v>117</v>
      </c>
      <c r="G126" s="50" t="s">
        <v>82</v>
      </c>
    </row>
    <row r="127" spans="1:7" ht="136" customHeight="1" outlineLevel="2" x14ac:dyDescent="0.2">
      <c r="A127" s="15" t="s">
        <v>303</v>
      </c>
      <c r="B127" s="16"/>
      <c r="C127" s="16"/>
      <c r="D127" s="15" t="s">
        <v>67</v>
      </c>
      <c r="E127" s="17" t="s">
        <v>304</v>
      </c>
      <c r="F127" s="92" t="s">
        <v>305</v>
      </c>
      <c r="G127" s="51" t="s">
        <v>190</v>
      </c>
    </row>
    <row r="128" spans="1:7" ht="136" customHeight="1" outlineLevel="2" x14ac:dyDescent="0.2">
      <c r="A128" s="15" t="s">
        <v>306</v>
      </c>
      <c r="B128" s="16"/>
      <c r="C128" s="16"/>
      <c r="D128" s="15" t="s">
        <v>72</v>
      </c>
      <c r="E128" s="17" t="s">
        <v>307</v>
      </c>
      <c r="F128" s="82" t="s">
        <v>178</v>
      </c>
      <c r="G128" s="51" t="s">
        <v>104</v>
      </c>
    </row>
    <row r="129" spans="1:7" ht="119" customHeight="1" outlineLevel="2" x14ac:dyDescent="0.2">
      <c r="A129" s="15" t="s">
        <v>308</v>
      </c>
      <c r="B129" s="16"/>
      <c r="C129" s="16"/>
      <c r="D129" s="15" t="s">
        <v>97</v>
      </c>
      <c r="E129" s="17" t="s">
        <v>309</v>
      </c>
      <c r="F129" s="82" t="s">
        <v>120</v>
      </c>
      <c r="G129" s="51" t="s">
        <v>82</v>
      </c>
    </row>
    <row r="130" spans="1:7" outlineLevel="1" x14ac:dyDescent="0.2">
      <c r="G130" s="21"/>
    </row>
    <row r="131" spans="1:7" ht="22" customHeight="1" x14ac:dyDescent="0.3">
      <c r="B131" s="8" t="s">
        <v>310</v>
      </c>
      <c r="G131" s="21"/>
    </row>
    <row r="132" spans="1:7" ht="19" customHeight="1" outlineLevel="1" x14ac:dyDescent="0.25">
      <c r="C132" s="10" t="s">
        <v>311</v>
      </c>
      <c r="G132" s="21"/>
    </row>
    <row r="133" spans="1:7" ht="136" customHeight="1" outlineLevel="2" x14ac:dyDescent="0.2">
      <c r="A133" s="12" t="s">
        <v>312</v>
      </c>
      <c r="B133" s="13"/>
      <c r="C133" s="13"/>
      <c r="D133" s="12" t="s">
        <v>62</v>
      </c>
      <c r="E133" s="14" t="s">
        <v>313</v>
      </c>
      <c r="F133" s="81" t="s">
        <v>163</v>
      </c>
      <c r="G133" s="50" t="s">
        <v>70</v>
      </c>
    </row>
    <row r="134" spans="1:7" ht="136" customHeight="1" outlineLevel="2" x14ac:dyDescent="0.2">
      <c r="A134" s="15" t="s">
        <v>314</v>
      </c>
      <c r="B134" s="16"/>
      <c r="C134" s="16"/>
      <c r="D134" s="15" t="s">
        <v>67</v>
      </c>
      <c r="E134" s="17" t="s">
        <v>315</v>
      </c>
      <c r="F134" s="82" t="s">
        <v>137</v>
      </c>
      <c r="G134" s="51" t="s">
        <v>82</v>
      </c>
    </row>
    <row r="135" spans="1:7" ht="136" customHeight="1" outlineLevel="2" x14ac:dyDescent="0.2">
      <c r="A135" s="15" t="s">
        <v>316</v>
      </c>
      <c r="B135" s="16"/>
      <c r="C135" s="16"/>
      <c r="D135" s="15" t="s">
        <v>72</v>
      </c>
      <c r="E135" s="17" t="s">
        <v>317</v>
      </c>
      <c r="F135" s="82" t="s">
        <v>186</v>
      </c>
      <c r="G135" s="51" t="s">
        <v>104</v>
      </c>
    </row>
    <row r="136" spans="1:7" ht="136" customHeight="1" outlineLevel="2" x14ac:dyDescent="0.2">
      <c r="A136" s="15" t="s">
        <v>318</v>
      </c>
      <c r="B136" s="16"/>
      <c r="C136" s="16"/>
      <c r="D136" s="15" t="s">
        <v>97</v>
      </c>
      <c r="E136" s="17" t="s">
        <v>319</v>
      </c>
      <c r="F136" s="82" t="s">
        <v>141</v>
      </c>
      <c r="G136" s="51" t="s">
        <v>82</v>
      </c>
    </row>
    <row r="137" spans="1:7" ht="136" customHeight="1" outlineLevel="2" x14ac:dyDescent="0.2">
      <c r="A137" s="15" t="s">
        <v>320</v>
      </c>
      <c r="B137" s="16"/>
      <c r="C137" s="16"/>
      <c r="D137" s="15" t="s">
        <v>101</v>
      </c>
      <c r="E137" s="17" t="s">
        <v>321</v>
      </c>
      <c r="F137" s="82" t="s">
        <v>322</v>
      </c>
      <c r="G137" s="51" t="s">
        <v>65</v>
      </c>
    </row>
    <row r="138" spans="1:7" outlineLevel="1" x14ac:dyDescent="0.2">
      <c r="G138" s="21"/>
    </row>
    <row r="139" spans="1:7" ht="19" customHeight="1" outlineLevel="1" x14ac:dyDescent="0.25">
      <c r="C139" s="10" t="s">
        <v>323</v>
      </c>
      <c r="G139" s="21"/>
    </row>
    <row r="140" spans="1:7" ht="119" customHeight="1" outlineLevel="2" x14ac:dyDescent="0.2">
      <c r="A140" s="12" t="s">
        <v>324</v>
      </c>
      <c r="B140" s="13"/>
      <c r="C140" s="13"/>
      <c r="D140" s="12" t="s">
        <v>62</v>
      </c>
      <c r="E140" s="14" t="s">
        <v>325</v>
      </c>
      <c r="F140" s="81" t="s">
        <v>154</v>
      </c>
      <c r="G140" s="50" t="s">
        <v>82</v>
      </c>
    </row>
    <row r="141" spans="1:7" ht="136" customHeight="1" outlineLevel="2" x14ac:dyDescent="0.2">
      <c r="A141" s="15" t="s">
        <v>326</v>
      </c>
      <c r="B141" s="16"/>
      <c r="C141" s="16"/>
      <c r="D141" s="15" t="s">
        <v>67</v>
      </c>
      <c r="E141" s="17" t="s">
        <v>327</v>
      </c>
      <c r="F141" s="82" t="s">
        <v>69</v>
      </c>
      <c r="G141" s="51" t="s">
        <v>70</v>
      </c>
    </row>
    <row r="142" spans="1:7" ht="136" customHeight="1" outlineLevel="2" x14ac:dyDescent="0.2">
      <c r="A142" s="15" t="s">
        <v>328</v>
      </c>
      <c r="B142" s="16"/>
      <c r="C142" s="16"/>
      <c r="D142" s="15" t="s">
        <v>72</v>
      </c>
      <c r="E142" s="17" t="s">
        <v>329</v>
      </c>
      <c r="F142" s="92" t="s">
        <v>330</v>
      </c>
      <c r="G142" s="51" t="s">
        <v>281</v>
      </c>
    </row>
    <row r="143" spans="1:7" ht="119" customHeight="1" outlineLevel="2" x14ac:dyDescent="0.2">
      <c r="A143" s="15" t="s">
        <v>331</v>
      </c>
      <c r="B143" s="16"/>
      <c r="C143" s="16"/>
      <c r="D143" s="15" t="s">
        <v>97</v>
      </c>
      <c r="E143" s="17" t="s">
        <v>332</v>
      </c>
      <c r="F143" s="82" t="s">
        <v>74</v>
      </c>
      <c r="G143" s="51" t="s">
        <v>70</v>
      </c>
    </row>
    <row r="144" spans="1:7" ht="136" customHeight="1" outlineLevel="2" x14ac:dyDescent="0.2">
      <c r="A144" s="15" t="s">
        <v>333</v>
      </c>
      <c r="B144" s="16"/>
      <c r="C144" s="16"/>
      <c r="D144" s="15" t="s">
        <v>101</v>
      </c>
      <c r="E144" s="17" t="s">
        <v>334</v>
      </c>
      <c r="F144" s="82" t="s">
        <v>81</v>
      </c>
      <c r="G144" s="51" t="s">
        <v>82</v>
      </c>
    </row>
    <row r="145" spans="1:7" outlineLevel="1" x14ac:dyDescent="0.2">
      <c r="G145" s="21"/>
    </row>
    <row r="146" spans="1:7" ht="19" customHeight="1" outlineLevel="1" x14ac:dyDescent="0.25">
      <c r="C146" s="10" t="s">
        <v>335</v>
      </c>
      <c r="G146" s="21"/>
    </row>
    <row r="147" spans="1:7" ht="153" customHeight="1" outlineLevel="2" x14ac:dyDescent="0.2">
      <c r="A147" s="12" t="s">
        <v>336</v>
      </c>
      <c r="B147" s="13"/>
      <c r="C147" s="13"/>
      <c r="D147" s="12" t="s">
        <v>62</v>
      </c>
      <c r="E147" s="14" t="s">
        <v>337</v>
      </c>
      <c r="F147" s="81" t="s">
        <v>85</v>
      </c>
      <c r="G147" s="50" t="s">
        <v>82</v>
      </c>
    </row>
    <row r="148" spans="1:7" ht="136" customHeight="1" outlineLevel="2" x14ac:dyDescent="0.2">
      <c r="A148" s="15" t="s">
        <v>338</v>
      </c>
      <c r="B148" s="16"/>
      <c r="C148" s="16"/>
      <c r="D148" s="15" t="s">
        <v>67</v>
      </c>
      <c r="E148" s="17" t="s">
        <v>339</v>
      </c>
      <c r="F148" s="82" t="s">
        <v>92</v>
      </c>
      <c r="G148" s="51" t="s">
        <v>82</v>
      </c>
    </row>
    <row r="149" spans="1:7" ht="153" customHeight="1" outlineLevel="2" x14ac:dyDescent="0.2">
      <c r="A149" s="15" t="s">
        <v>340</v>
      </c>
      <c r="B149" s="16"/>
      <c r="C149" s="16"/>
      <c r="D149" s="15" t="s">
        <v>72</v>
      </c>
      <c r="E149" s="17" t="s">
        <v>341</v>
      </c>
      <c r="F149" s="82" t="s">
        <v>78</v>
      </c>
      <c r="G149" s="51" t="s">
        <v>70</v>
      </c>
    </row>
    <row r="150" spans="1:7" ht="153" customHeight="1" outlineLevel="2" x14ac:dyDescent="0.2">
      <c r="A150" s="15" t="s">
        <v>342</v>
      </c>
      <c r="B150" s="16"/>
      <c r="C150" s="16"/>
      <c r="D150" s="15" t="s">
        <v>97</v>
      </c>
      <c r="E150" s="17" t="s">
        <v>343</v>
      </c>
      <c r="F150" s="92" t="s">
        <v>344</v>
      </c>
      <c r="G150" s="51" t="s">
        <v>281</v>
      </c>
    </row>
    <row r="151" spans="1:7" ht="136" customHeight="1" outlineLevel="2" x14ac:dyDescent="0.2">
      <c r="A151" s="15" t="s">
        <v>345</v>
      </c>
      <c r="B151" s="16"/>
      <c r="C151" s="16"/>
      <c r="D151" s="15" t="s">
        <v>101</v>
      </c>
      <c r="E151" s="17" t="s">
        <v>346</v>
      </c>
      <c r="F151" s="92" t="s">
        <v>347</v>
      </c>
      <c r="G151" s="51" t="s">
        <v>281</v>
      </c>
    </row>
    <row r="152" spans="1:7" outlineLevel="1" x14ac:dyDescent="0.2">
      <c r="G152" s="21"/>
    </row>
    <row r="153" spans="1:7" ht="19" customHeight="1" outlineLevel="1" x14ac:dyDescent="0.25">
      <c r="C153" s="10" t="s">
        <v>348</v>
      </c>
      <c r="G153" s="21"/>
    </row>
    <row r="154" spans="1:7" ht="136" customHeight="1" outlineLevel="2" x14ac:dyDescent="0.2">
      <c r="A154" s="12" t="s">
        <v>349</v>
      </c>
      <c r="B154" s="13"/>
      <c r="C154" s="13"/>
      <c r="D154" s="12" t="s">
        <v>62</v>
      </c>
      <c r="E154" s="14" t="s">
        <v>350</v>
      </c>
      <c r="F154" s="81" t="s">
        <v>111</v>
      </c>
      <c r="G154" s="50" t="s">
        <v>82</v>
      </c>
    </row>
    <row r="155" spans="1:7" ht="153" customHeight="1" outlineLevel="2" x14ac:dyDescent="0.2">
      <c r="A155" s="15" t="s">
        <v>351</v>
      </c>
      <c r="B155" s="16"/>
      <c r="C155" s="16"/>
      <c r="D155" s="15" t="s">
        <v>67</v>
      </c>
      <c r="E155" s="17" t="s">
        <v>352</v>
      </c>
      <c r="F155" s="82" t="s">
        <v>89</v>
      </c>
      <c r="G155" s="51" t="s">
        <v>70</v>
      </c>
    </row>
    <row r="156" spans="1:7" ht="153" customHeight="1" outlineLevel="2" x14ac:dyDescent="0.2">
      <c r="A156" s="15" t="s">
        <v>353</v>
      </c>
      <c r="B156" s="16"/>
      <c r="C156" s="16"/>
      <c r="D156" s="15" t="s">
        <v>72</v>
      </c>
      <c r="E156" s="17" t="s">
        <v>354</v>
      </c>
      <c r="F156" s="82" t="s">
        <v>95</v>
      </c>
      <c r="G156" s="51" t="s">
        <v>70</v>
      </c>
    </row>
    <row r="157" spans="1:7" ht="136" customHeight="1" outlineLevel="2" x14ac:dyDescent="0.2">
      <c r="A157" s="15" t="s">
        <v>355</v>
      </c>
      <c r="B157" s="16"/>
      <c r="C157" s="16"/>
      <c r="D157" s="15" t="s">
        <v>97</v>
      </c>
      <c r="E157" s="17" t="s">
        <v>356</v>
      </c>
      <c r="F157" s="82" t="s">
        <v>114</v>
      </c>
      <c r="G157" s="51" t="s">
        <v>82</v>
      </c>
    </row>
    <row r="158" spans="1:7" outlineLevel="1" x14ac:dyDescent="0.2">
      <c r="G158" s="21"/>
    </row>
    <row r="159" spans="1:7" ht="22" customHeight="1" x14ac:dyDescent="0.3">
      <c r="B159" s="8" t="s">
        <v>357</v>
      </c>
      <c r="G159" s="21"/>
    </row>
    <row r="160" spans="1:7" ht="19" customHeight="1" outlineLevel="1" x14ac:dyDescent="0.25">
      <c r="C160" s="10" t="s">
        <v>358</v>
      </c>
      <c r="G160" s="21"/>
    </row>
    <row r="161" spans="1:7" ht="153" customHeight="1" outlineLevel="2" x14ac:dyDescent="0.2">
      <c r="A161" s="12" t="s">
        <v>359</v>
      </c>
      <c r="B161" s="13"/>
      <c r="C161" s="13"/>
      <c r="D161" s="12" t="s">
        <v>62</v>
      </c>
      <c r="E161" s="14" t="s">
        <v>360</v>
      </c>
      <c r="F161" s="81" t="s">
        <v>117</v>
      </c>
      <c r="G161" s="50" t="s">
        <v>82</v>
      </c>
    </row>
    <row r="162" spans="1:7" ht="153" customHeight="1" outlineLevel="2" x14ac:dyDescent="0.2">
      <c r="A162" s="15" t="s">
        <v>361</v>
      </c>
      <c r="B162" s="16"/>
      <c r="C162" s="16"/>
      <c r="D162" s="15" t="s">
        <v>67</v>
      </c>
      <c r="E162" s="17" t="s">
        <v>362</v>
      </c>
      <c r="F162" s="82" t="s">
        <v>120</v>
      </c>
      <c r="G162" s="51" t="s">
        <v>82</v>
      </c>
    </row>
    <row r="163" spans="1:7" ht="153" customHeight="1" outlineLevel="2" x14ac:dyDescent="0.2">
      <c r="A163" s="15" t="s">
        <v>363</v>
      </c>
      <c r="B163" s="16"/>
      <c r="C163" s="16"/>
      <c r="D163" s="15" t="s">
        <v>72</v>
      </c>
      <c r="E163" s="17" t="s">
        <v>364</v>
      </c>
      <c r="F163" s="92" t="s">
        <v>365</v>
      </c>
      <c r="G163" s="51" t="s">
        <v>190</v>
      </c>
    </row>
    <row r="164" spans="1:7" outlineLevel="1" x14ac:dyDescent="0.2">
      <c r="G164" s="21"/>
    </row>
    <row r="165" spans="1:7" ht="19" customHeight="1" outlineLevel="1" x14ac:dyDescent="0.25">
      <c r="C165" s="10" t="s">
        <v>366</v>
      </c>
      <c r="G165" s="21"/>
    </row>
    <row r="166" spans="1:7" ht="187" customHeight="1" outlineLevel="2" x14ac:dyDescent="0.2">
      <c r="A166" s="12" t="s">
        <v>367</v>
      </c>
      <c r="B166" s="13"/>
      <c r="C166" s="13"/>
      <c r="D166" s="12" t="s">
        <v>62</v>
      </c>
      <c r="E166" s="14" t="s">
        <v>368</v>
      </c>
      <c r="F166" s="81" t="s">
        <v>137</v>
      </c>
      <c r="G166" s="50" t="s">
        <v>82</v>
      </c>
    </row>
    <row r="167" spans="1:7" ht="170" customHeight="1" outlineLevel="2" x14ac:dyDescent="0.2">
      <c r="A167" s="15" t="s">
        <v>369</v>
      </c>
      <c r="B167" s="16"/>
      <c r="C167" s="16"/>
      <c r="D167" s="15" t="s">
        <v>67</v>
      </c>
      <c r="E167" s="17" t="s">
        <v>370</v>
      </c>
      <c r="F167" s="82" t="s">
        <v>141</v>
      </c>
      <c r="G167" s="51" t="s">
        <v>82</v>
      </c>
    </row>
    <row r="168" spans="1:7" ht="136" customHeight="1" outlineLevel="2" x14ac:dyDescent="0.2">
      <c r="A168" s="15" t="s">
        <v>371</v>
      </c>
      <c r="B168" s="16"/>
      <c r="C168" s="16"/>
      <c r="D168" s="15" t="s">
        <v>72</v>
      </c>
      <c r="E168" s="17" t="s">
        <v>372</v>
      </c>
      <c r="F168" s="82" t="s">
        <v>154</v>
      </c>
      <c r="G168" s="51" t="s">
        <v>82</v>
      </c>
    </row>
    <row r="169" spans="1:7" outlineLevel="1" x14ac:dyDescent="0.2">
      <c r="G169" s="21"/>
    </row>
    <row r="170" spans="1:7" ht="19" customHeight="1" outlineLevel="1" x14ac:dyDescent="0.25">
      <c r="C170" s="10" t="s">
        <v>373</v>
      </c>
      <c r="G170" s="21"/>
    </row>
    <row r="171" spans="1:7" ht="153" customHeight="1" outlineLevel="2" x14ac:dyDescent="0.2">
      <c r="A171" s="12" t="s">
        <v>374</v>
      </c>
      <c r="B171" s="13"/>
      <c r="C171" s="13"/>
      <c r="D171" s="12" t="s">
        <v>62</v>
      </c>
      <c r="E171" s="14" t="s">
        <v>375</v>
      </c>
      <c r="F171" s="81" t="s">
        <v>81</v>
      </c>
      <c r="G171" s="50" t="s">
        <v>82</v>
      </c>
    </row>
    <row r="172" spans="1:7" ht="153" customHeight="1" outlineLevel="2" x14ac:dyDescent="0.2">
      <c r="A172" s="15" t="s">
        <v>376</v>
      </c>
      <c r="B172" s="16"/>
      <c r="C172" s="16"/>
      <c r="D172" s="15" t="s">
        <v>67</v>
      </c>
      <c r="E172" s="17" t="s">
        <v>377</v>
      </c>
      <c r="F172" s="82" t="s">
        <v>85</v>
      </c>
      <c r="G172" s="51" t="s">
        <v>82</v>
      </c>
    </row>
    <row r="173" spans="1:7" ht="136" customHeight="1" outlineLevel="2" x14ac:dyDescent="0.2">
      <c r="A173" s="15" t="s">
        <v>378</v>
      </c>
      <c r="B173" s="16"/>
      <c r="C173" s="16"/>
      <c r="D173" s="15" t="s">
        <v>72</v>
      </c>
      <c r="E173" s="17" t="s">
        <v>379</v>
      </c>
      <c r="F173" s="82" t="s">
        <v>92</v>
      </c>
      <c r="G173" s="51" t="s">
        <v>82</v>
      </c>
    </row>
    <row r="174" spans="1:7" ht="153" customHeight="1" outlineLevel="2" x14ac:dyDescent="0.2">
      <c r="A174" s="15" t="s">
        <v>380</v>
      </c>
      <c r="B174" s="16"/>
      <c r="C174" s="16"/>
      <c r="D174" s="15" t="s">
        <v>97</v>
      </c>
      <c r="E174" s="17" t="s">
        <v>381</v>
      </c>
      <c r="F174" s="92" t="s">
        <v>280</v>
      </c>
      <c r="G174" s="51" t="s">
        <v>281</v>
      </c>
    </row>
    <row r="175" spans="1:7" outlineLevel="1" x14ac:dyDescent="0.2">
      <c r="G175" s="21"/>
    </row>
    <row r="176" spans="1:7" ht="22" customHeight="1" x14ac:dyDescent="0.3">
      <c r="B176" s="8" t="s">
        <v>382</v>
      </c>
      <c r="G176" s="21"/>
    </row>
    <row r="177" spans="1:7" ht="19" customHeight="1" outlineLevel="1" x14ac:dyDescent="0.25">
      <c r="C177" s="10" t="s">
        <v>383</v>
      </c>
      <c r="G177" s="21"/>
    </row>
    <row r="178" spans="1:7" ht="170" customHeight="1" outlineLevel="2" x14ac:dyDescent="0.2">
      <c r="A178" s="12" t="s">
        <v>384</v>
      </c>
      <c r="B178" s="13"/>
      <c r="C178" s="13"/>
      <c r="D178" s="12" t="s">
        <v>62</v>
      </c>
      <c r="E178" s="14" t="s">
        <v>385</v>
      </c>
      <c r="F178" s="81" t="s">
        <v>111</v>
      </c>
      <c r="G178" s="50" t="s">
        <v>82</v>
      </c>
    </row>
    <row r="179" spans="1:7" ht="136" customHeight="1" outlineLevel="2" x14ac:dyDescent="0.2">
      <c r="A179" s="15" t="s">
        <v>386</v>
      </c>
      <c r="B179" s="16"/>
      <c r="C179" s="16"/>
      <c r="D179" s="15" t="s">
        <v>67</v>
      </c>
      <c r="E179" s="17" t="s">
        <v>387</v>
      </c>
      <c r="F179" s="82" t="s">
        <v>103</v>
      </c>
      <c r="G179" s="51" t="s">
        <v>104</v>
      </c>
    </row>
    <row r="180" spans="1:7" ht="136" customHeight="1" outlineLevel="2" x14ac:dyDescent="0.2">
      <c r="A180" s="15" t="s">
        <v>388</v>
      </c>
      <c r="B180" s="16"/>
      <c r="C180" s="16"/>
      <c r="D180" s="15" t="s">
        <v>72</v>
      </c>
      <c r="E180" s="17" t="s">
        <v>389</v>
      </c>
      <c r="F180" s="82" t="s">
        <v>114</v>
      </c>
      <c r="G180" s="51" t="s">
        <v>82</v>
      </c>
    </row>
    <row r="181" spans="1:7" ht="136" customHeight="1" outlineLevel="2" x14ac:dyDescent="0.2">
      <c r="A181" s="15" t="s">
        <v>390</v>
      </c>
      <c r="B181" s="16"/>
      <c r="C181" s="16"/>
      <c r="D181" s="15" t="s">
        <v>97</v>
      </c>
      <c r="E181" s="17" t="s">
        <v>391</v>
      </c>
      <c r="F181" s="82" t="s">
        <v>108</v>
      </c>
      <c r="G181" s="51" t="s">
        <v>104</v>
      </c>
    </row>
    <row r="182" spans="1:7" outlineLevel="1" x14ac:dyDescent="0.2">
      <c r="G182" s="21"/>
    </row>
    <row r="183" spans="1:7" ht="19" customHeight="1" outlineLevel="1" x14ac:dyDescent="0.25">
      <c r="C183" s="10" t="s">
        <v>392</v>
      </c>
      <c r="G183" s="21"/>
    </row>
    <row r="184" spans="1:7" ht="153" customHeight="1" outlineLevel="2" x14ac:dyDescent="0.2">
      <c r="A184" s="12" t="s">
        <v>393</v>
      </c>
      <c r="B184" s="13"/>
      <c r="C184" s="13"/>
      <c r="D184" s="12" t="s">
        <v>62</v>
      </c>
      <c r="E184" s="14" t="s">
        <v>394</v>
      </c>
      <c r="F184" s="81" t="s">
        <v>117</v>
      </c>
      <c r="G184" s="50" t="s">
        <v>82</v>
      </c>
    </row>
    <row r="185" spans="1:7" ht="153" customHeight="1" outlineLevel="2" x14ac:dyDescent="0.2">
      <c r="A185" s="15" t="s">
        <v>395</v>
      </c>
      <c r="B185" s="16"/>
      <c r="C185" s="16"/>
      <c r="D185" s="15" t="s">
        <v>67</v>
      </c>
      <c r="E185" s="17" t="s">
        <v>396</v>
      </c>
      <c r="F185" s="82" t="s">
        <v>125</v>
      </c>
      <c r="G185" s="51" t="s">
        <v>104</v>
      </c>
    </row>
    <row r="186" spans="1:7" ht="136" customHeight="1" outlineLevel="2" x14ac:dyDescent="0.2">
      <c r="A186" s="15" t="s">
        <v>397</v>
      </c>
      <c r="B186" s="16"/>
      <c r="C186" s="16"/>
      <c r="D186" s="15" t="s">
        <v>72</v>
      </c>
      <c r="E186" s="17" t="s">
        <v>398</v>
      </c>
      <c r="F186" s="82" t="s">
        <v>120</v>
      </c>
      <c r="G186" s="51" t="s">
        <v>82</v>
      </c>
    </row>
    <row r="187" spans="1:7" ht="153" customHeight="1" outlineLevel="2" x14ac:dyDescent="0.2">
      <c r="A187" s="15" t="s">
        <v>399</v>
      </c>
      <c r="B187" s="16"/>
      <c r="C187" s="16"/>
      <c r="D187" s="15" t="s">
        <v>97</v>
      </c>
      <c r="E187" s="17" t="s">
        <v>400</v>
      </c>
      <c r="F187" s="82" t="s">
        <v>131</v>
      </c>
      <c r="G187" s="51" t="s">
        <v>104</v>
      </c>
    </row>
    <row r="188" spans="1:7" ht="170" customHeight="1" outlineLevel="2" x14ac:dyDescent="0.2">
      <c r="A188" s="15" t="s">
        <v>401</v>
      </c>
      <c r="B188" s="16"/>
      <c r="C188" s="16"/>
      <c r="D188" s="15" t="s">
        <v>101</v>
      </c>
      <c r="E188" s="17" t="s">
        <v>402</v>
      </c>
      <c r="F188" s="82" t="s">
        <v>137</v>
      </c>
      <c r="G188" s="51" t="s">
        <v>82</v>
      </c>
    </row>
    <row r="189" spans="1:7" outlineLevel="1" x14ac:dyDescent="0.2">
      <c r="G189" s="21"/>
    </row>
    <row r="190" spans="1:7" ht="19" customHeight="1" outlineLevel="1" x14ac:dyDescent="0.25">
      <c r="C190" s="10" t="s">
        <v>403</v>
      </c>
      <c r="G190" s="21"/>
    </row>
    <row r="191" spans="1:7" ht="170" customHeight="1" outlineLevel="2" x14ac:dyDescent="0.2">
      <c r="A191" s="12" t="s">
        <v>404</v>
      </c>
      <c r="B191" s="13"/>
      <c r="C191" s="13"/>
      <c r="D191" s="12" t="s">
        <v>62</v>
      </c>
      <c r="E191" s="14" t="s">
        <v>405</v>
      </c>
      <c r="F191" s="81" t="s">
        <v>141</v>
      </c>
      <c r="G191" s="50" t="s">
        <v>82</v>
      </c>
    </row>
    <row r="192" spans="1:7" ht="136" customHeight="1" outlineLevel="2" x14ac:dyDescent="0.2">
      <c r="A192" s="15" t="s">
        <v>406</v>
      </c>
      <c r="B192" s="16"/>
      <c r="C192" s="16"/>
      <c r="D192" s="15" t="s">
        <v>67</v>
      </c>
      <c r="E192" s="17" t="s">
        <v>407</v>
      </c>
      <c r="F192" s="82" t="s">
        <v>154</v>
      </c>
      <c r="G192" s="51" t="s">
        <v>82</v>
      </c>
    </row>
    <row r="193" spans="1:7" ht="153" customHeight="1" outlineLevel="2" x14ac:dyDescent="0.2">
      <c r="A193" s="15" t="s">
        <v>408</v>
      </c>
      <c r="B193" s="16"/>
      <c r="C193" s="16"/>
      <c r="D193" s="15" t="s">
        <v>72</v>
      </c>
      <c r="E193" s="17" t="s">
        <v>409</v>
      </c>
      <c r="F193" s="82" t="s">
        <v>81</v>
      </c>
      <c r="G193" s="51" t="s">
        <v>82</v>
      </c>
    </row>
    <row r="194" spans="1:7" ht="136" customHeight="1" outlineLevel="2" x14ac:dyDescent="0.2">
      <c r="A194" s="15" t="s">
        <v>410</v>
      </c>
      <c r="B194" s="16"/>
      <c r="C194" s="16"/>
      <c r="D194" s="15" t="s">
        <v>97</v>
      </c>
      <c r="E194" s="17" t="s">
        <v>411</v>
      </c>
      <c r="F194" s="82" t="s">
        <v>134</v>
      </c>
      <c r="G194" s="51" t="s">
        <v>104</v>
      </c>
    </row>
    <row r="195" spans="1:7" outlineLevel="1" x14ac:dyDescent="0.2">
      <c r="G195" s="21"/>
    </row>
    <row r="196" spans="1:7" ht="19" customHeight="1" outlineLevel="1" x14ac:dyDescent="0.25">
      <c r="C196" s="10" t="s">
        <v>412</v>
      </c>
      <c r="G196" s="21"/>
    </row>
    <row r="197" spans="1:7" ht="170" customHeight="1" outlineLevel="2" x14ac:dyDescent="0.2">
      <c r="A197" s="12" t="s">
        <v>413</v>
      </c>
      <c r="B197" s="13"/>
      <c r="C197" s="13"/>
      <c r="D197" s="12" t="s">
        <v>62</v>
      </c>
      <c r="E197" s="14" t="s">
        <v>414</v>
      </c>
      <c r="F197" s="81" t="s">
        <v>145</v>
      </c>
      <c r="G197" s="50" t="s">
        <v>104</v>
      </c>
    </row>
    <row r="198" spans="1:7" ht="170" customHeight="1" outlineLevel="2" x14ac:dyDescent="0.2">
      <c r="A198" s="15" t="s">
        <v>415</v>
      </c>
      <c r="B198" s="16"/>
      <c r="C198" s="16"/>
      <c r="D198" s="15" t="s">
        <v>67</v>
      </c>
      <c r="E198" s="17" t="s">
        <v>416</v>
      </c>
      <c r="F198" s="82" t="s">
        <v>85</v>
      </c>
      <c r="G198" s="51" t="s">
        <v>82</v>
      </c>
    </row>
    <row r="199" spans="1:7" outlineLevel="1" x14ac:dyDescent="0.2">
      <c r="G199" s="21"/>
    </row>
    <row r="200" spans="1:7" ht="22" customHeight="1" x14ac:dyDescent="0.3">
      <c r="B200" s="8" t="s">
        <v>417</v>
      </c>
      <c r="G200" s="21"/>
    </row>
    <row r="201" spans="1:7" ht="19" customHeight="1" outlineLevel="1" x14ac:dyDescent="0.25">
      <c r="C201" s="10" t="s">
        <v>418</v>
      </c>
      <c r="G201" s="21"/>
    </row>
    <row r="202" spans="1:7" ht="187" customHeight="1" outlineLevel="2" x14ac:dyDescent="0.2">
      <c r="A202" s="12" t="s">
        <v>419</v>
      </c>
      <c r="B202" s="13"/>
      <c r="C202" s="13"/>
      <c r="D202" s="12" t="s">
        <v>62</v>
      </c>
      <c r="E202" s="14" t="s">
        <v>420</v>
      </c>
      <c r="F202" s="81" t="s">
        <v>151</v>
      </c>
      <c r="G202" s="50" t="s">
        <v>104</v>
      </c>
    </row>
    <row r="203" spans="1:7" ht="136" customHeight="1" outlineLevel="2" x14ac:dyDescent="0.2">
      <c r="A203" s="15" t="s">
        <v>421</v>
      </c>
      <c r="B203" s="16"/>
      <c r="C203" s="16"/>
      <c r="D203" s="15" t="s">
        <v>67</v>
      </c>
      <c r="E203" s="17" t="s">
        <v>422</v>
      </c>
      <c r="F203" s="82" t="s">
        <v>423</v>
      </c>
      <c r="G203" s="51" t="s">
        <v>65</v>
      </c>
    </row>
    <row r="204" spans="1:7" outlineLevel="1" x14ac:dyDescent="0.2">
      <c r="G204" s="21"/>
    </row>
    <row r="205" spans="1:7" ht="19" customHeight="1" outlineLevel="1" x14ac:dyDescent="0.25">
      <c r="C205" s="10" t="s">
        <v>424</v>
      </c>
      <c r="G205" s="21"/>
    </row>
    <row r="206" spans="1:7" ht="136" customHeight="1" outlineLevel="2" x14ac:dyDescent="0.2">
      <c r="A206" s="12" t="s">
        <v>425</v>
      </c>
      <c r="B206" s="13"/>
      <c r="C206" s="13"/>
      <c r="D206" s="12" t="s">
        <v>62</v>
      </c>
      <c r="E206" s="14" t="s">
        <v>426</v>
      </c>
      <c r="F206" s="81" t="s">
        <v>427</v>
      </c>
      <c r="G206" s="50" t="s">
        <v>65</v>
      </c>
    </row>
    <row r="207" spans="1:7" ht="136" customHeight="1" outlineLevel="2" x14ac:dyDescent="0.2">
      <c r="A207" s="15" t="s">
        <v>428</v>
      </c>
      <c r="B207" s="16"/>
      <c r="C207" s="16"/>
      <c r="D207" s="15" t="s">
        <v>67</v>
      </c>
      <c r="E207" s="17" t="s">
        <v>429</v>
      </c>
      <c r="F207" s="82" t="s">
        <v>173</v>
      </c>
      <c r="G207" s="51" t="s">
        <v>104</v>
      </c>
    </row>
    <row r="208" spans="1:7" ht="170" customHeight="1" outlineLevel="2" x14ac:dyDescent="0.2">
      <c r="A208" s="15" t="s">
        <v>430</v>
      </c>
      <c r="B208" s="16"/>
      <c r="C208" s="16"/>
      <c r="D208" s="15" t="s">
        <v>72</v>
      </c>
      <c r="E208" s="17" t="s">
        <v>431</v>
      </c>
      <c r="F208" s="82" t="s">
        <v>178</v>
      </c>
      <c r="G208" s="51" t="s">
        <v>104</v>
      </c>
    </row>
    <row r="209" spans="1:7" ht="153" customHeight="1" outlineLevel="2" x14ac:dyDescent="0.2">
      <c r="A209" s="15" t="s">
        <v>432</v>
      </c>
      <c r="B209" s="16"/>
      <c r="C209" s="16"/>
      <c r="D209" s="15" t="s">
        <v>97</v>
      </c>
      <c r="E209" s="17" t="s">
        <v>433</v>
      </c>
      <c r="F209" s="82" t="s">
        <v>186</v>
      </c>
      <c r="G209" s="51" t="s">
        <v>104</v>
      </c>
    </row>
    <row r="210" spans="1:7" outlineLevel="1" x14ac:dyDescent="0.2">
      <c r="G210" s="21"/>
    </row>
    <row r="211" spans="1:7" ht="19" customHeight="1" outlineLevel="1" x14ac:dyDescent="0.25">
      <c r="C211" s="10" t="s">
        <v>434</v>
      </c>
      <c r="G211" s="21"/>
    </row>
    <row r="212" spans="1:7" ht="153" customHeight="1" outlineLevel="2" x14ac:dyDescent="0.2">
      <c r="A212" s="12" t="s">
        <v>435</v>
      </c>
      <c r="B212" s="13"/>
      <c r="C212" s="13"/>
      <c r="D212" s="12" t="s">
        <v>62</v>
      </c>
      <c r="E212" s="14" t="s">
        <v>436</v>
      </c>
      <c r="F212" s="81" t="s">
        <v>92</v>
      </c>
      <c r="G212" s="50" t="s">
        <v>82</v>
      </c>
    </row>
    <row r="213" spans="1:7" ht="153" customHeight="1" outlineLevel="2" x14ac:dyDescent="0.2">
      <c r="A213" s="15" t="s">
        <v>437</v>
      </c>
      <c r="B213" s="16"/>
      <c r="C213" s="16"/>
      <c r="D213" s="15" t="s">
        <v>67</v>
      </c>
      <c r="E213" s="17" t="s">
        <v>438</v>
      </c>
      <c r="F213" s="82" t="s">
        <v>99</v>
      </c>
      <c r="G213" s="51" t="s">
        <v>70</v>
      </c>
    </row>
    <row r="214" spans="1:7" ht="153" customHeight="1" outlineLevel="2" x14ac:dyDescent="0.2">
      <c r="A214" s="15" t="s">
        <v>439</v>
      </c>
      <c r="B214" s="16"/>
      <c r="C214" s="16"/>
      <c r="D214" s="15" t="s">
        <v>72</v>
      </c>
      <c r="E214" s="17" t="s">
        <v>440</v>
      </c>
      <c r="F214" s="82" t="s">
        <v>111</v>
      </c>
      <c r="G214" s="51" t="s">
        <v>82</v>
      </c>
    </row>
    <row r="215" spans="1:7" ht="153" customHeight="1" outlineLevel="2" x14ac:dyDescent="0.2">
      <c r="A215" s="15" t="s">
        <v>441</v>
      </c>
      <c r="B215" s="16"/>
      <c r="C215" s="16"/>
      <c r="D215" s="15" t="s">
        <v>97</v>
      </c>
      <c r="E215" s="17" t="s">
        <v>442</v>
      </c>
      <c r="F215" s="82" t="s">
        <v>128</v>
      </c>
      <c r="G215" s="51" t="s">
        <v>70</v>
      </c>
    </row>
    <row r="216" spans="1:7" outlineLevel="1" x14ac:dyDescent="0.2">
      <c r="G216" s="21"/>
    </row>
    <row r="217" spans="1:7" ht="22" customHeight="1" x14ac:dyDescent="0.3">
      <c r="B217" s="8" t="s">
        <v>443</v>
      </c>
      <c r="G217" s="21"/>
    </row>
    <row r="218" spans="1:7" ht="19" customHeight="1" outlineLevel="1" x14ac:dyDescent="0.25">
      <c r="C218" s="10" t="s">
        <v>444</v>
      </c>
      <c r="G218" s="21"/>
    </row>
    <row r="219" spans="1:7" ht="170" customHeight="1" outlineLevel="2" x14ac:dyDescent="0.2">
      <c r="A219" s="12" t="s">
        <v>445</v>
      </c>
      <c r="B219" s="13"/>
      <c r="C219" s="13"/>
      <c r="D219" s="12" t="s">
        <v>62</v>
      </c>
      <c r="E219" s="14" t="s">
        <v>446</v>
      </c>
      <c r="F219" s="81" t="s">
        <v>103</v>
      </c>
      <c r="G219" s="50" t="s">
        <v>104</v>
      </c>
    </row>
    <row r="220" spans="1:7" ht="153" customHeight="1" outlineLevel="2" x14ac:dyDescent="0.2">
      <c r="A220" s="15" t="s">
        <v>447</v>
      </c>
      <c r="B220" s="16"/>
      <c r="C220" s="16"/>
      <c r="D220" s="15" t="s">
        <v>67</v>
      </c>
      <c r="E220" s="17" t="s">
        <v>448</v>
      </c>
      <c r="F220" s="82" t="s">
        <v>108</v>
      </c>
      <c r="G220" s="51" t="s">
        <v>104</v>
      </c>
    </row>
    <row r="221" spans="1:7" ht="153" customHeight="1" outlineLevel="2" x14ac:dyDescent="0.2">
      <c r="A221" s="15" t="s">
        <v>449</v>
      </c>
      <c r="B221" s="16"/>
      <c r="C221" s="16"/>
      <c r="D221" s="15" t="s">
        <v>72</v>
      </c>
      <c r="E221" s="17" t="s">
        <v>450</v>
      </c>
      <c r="F221" s="82" t="s">
        <v>451</v>
      </c>
      <c r="G221" s="51" t="s">
        <v>65</v>
      </c>
    </row>
    <row r="222" spans="1:7" ht="136" customHeight="1" outlineLevel="2" x14ac:dyDescent="0.2">
      <c r="A222" s="15" t="s">
        <v>452</v>
      </c>
      <c r="B222" s="16"/>
      <c r="C222" s="16"/>
      <c r="D222" s="15" t="s">
        <v>97</v>
      </c>
      <c r="E222" s="17" t="s">
        <v>453</v>
      </c>
      <c r="F222" s="92" t="s">
        <v>296</v>
      </c>
      <c r="G222" s="51" t="s">
        <v>281</v>
      </c>
    </row>
    <row r="223" spans="1:7" outlineLevel="1" x14ac:dyDescent="0.2">
      <c r="G223" s="21"/>
    </row>
    <row r="224" spans="1:7" ht="19" customHeight="1" outlineLevel="1" x14ac:dyDescent="0.25">
      <c r="C224" s="10" t="s">
        <v>454</v>
      </c>
      <c r="G224" s="21"/>
    </row>
    <row r="225" spans="1:7" ht="153" customHeight="1" outlineLevel="2" x14ac:dyDescent="0.2">
      <c r="A225" s="12" t="s">
        <v>455</v>
      </c>
      <c r="B225" s="13"/>
      <c r="C225" s="13"/>
      <c r="D225" s="12" t="s">
        <v>62</v>
      </c>
      <c r="E225" s="14" t="s">
        <v>456</v>
      </c>
      <c r="F225" s="81" t="s">
        <v>125</v>
      </c>
      <c r="G225" s="50" t="s">
        <v>104</v>
      </c>
    </row>
    <row r="226" spans="1:7" ht="153" customHeight="1" outlineLevel="2" x14ac:dyDescent="0.2">
      <c r="A226" s="15" t="s">
        <v>457</v>
      </c>
      <c r="B226" s="16"/>
      <c r="C226" s="16"/>
      <c r="D226" s="15" t="s">
        <v>67</v>
      </c>
      <c r="E226" s="17" t="s">
        <v>458</v>
      </c>
      <c r="F226" s="82" t="s">
        <v>148</v>
      </c>
      <c r="G226" s="51" t="s">
        <v>70</v>
      </c>
    </row>
    <row r="227" spans="1:7" ht="153" customHeight="1" outlineLevel="2" x14ac:dyDescent="0.2">
      <c r="A227" s="15" t="s">
        <v>459</v>
      </c>
      <c r="B227" s="16"/>
      <c r="C227" s="16"/>
      <c r="D227" s="15" t="s">
        <v>72</v>
      </c>
      <c r="E227" s="17" t="s">
        <v>460</v>
      </c>
      <c r="F227" s="82" t="s">
        <v>131</v>
      </c>
      <c r="G227" s="51" t="s">
        <v>104</v>
      </c>
    </row>
    <row r="228" spans="1:7" ht="153" customHeight="1" outlineLevel="2" x14ac:dyDescent="0.2">
      <c r="A228" s="15" t="s">
        <v>461</v>
      </c>
      <c r="B228" s="16"/>
      <c r="C228" s="16"/>
      <c r="D228" s="15" t="s">
        <v>97</v>
      </c>
      <c r="E228" s="17" t="s">
        <v>462</v>
      </c>
      <c r="F228" s="82" t="s">
        <v>64</v>
      </c>
      <c r="G228" s="51" t="s">
        <v>65</v>
      </c>
    </row>
    <row r="229" spans="1:7" outlineLevel="1" x14ac:dyDescent="0.2">
      <c r="G229" s="21"/>
    </row>
    <row r="230" spans="1:7" ht="19" customHeight="1" outlineLevel="1" x14ac:dyDescent="0.25">
      <c r="C230" s="10" t="s">
        <v>463</v>
      </c>
      <c r="G230" s="21"/>
    </row>
    <row r="231" spans="1:7" ht="136" customHeight="1" outlineLevel="2" x14ac:dyDescent="0.2">
      <c r="A231" s="12" t="s">
        <v>464</v>
      </c>
      <c r="B231" s="13"/>
      <c r="C231" s="13"/>
      <c r="D231" s="12" t="s">
        <v>62</v>
      </c>
      <c r="E231" s="14" t="s">
        <v>465</v>
      </c>
      <c r="F231" s="81" t="s">
        <v>134</v>
      </c>
      <c r="G231" s="50" t="s">
        <v>104</v>
      </c>
    </row>
    <row r="232" spans="1:7" ht="153" customHeight="1" outlineLevel="2" x14ac:dyDescent="0.2">
      <c r="A232" s="15" t="s">
        <v>466</v>
      </c>
      <c r="B232" s="16"/>
      <c r="C232" s="16"/>
      <c r="D232" s="15" t="s">
        <v>67</v>
      </c>
      <c r="E232" s="17" t="s">
        <v>467</v>
      </c>
      <c r="F232" s="82" t="s">
        <v>145</v>
      </c>
      <c r="G232" s="51" t="s">
        <v>104</v>
      </c>
    </row>
    <row r="233" spans="1:7" ht="119" customHeight="1" outlineLevel="2" x14ac:dyDescent="0.2">
      <c r="A233" s="15" t="s">
        <v>468</v>
      </c>
      <c r="B233" s="16"/>
      <c r="C233" s="16"/>
      <c r="D233" s="15" t="s">
        <v>72</v>
      </c>
      <c r="E233" s="17" t="s">
        <v>469</v>
      </c>
      <c r="F233" s="82" t="s">
        <v>151</v>
      </c>
      <c r="G233" s="51" t="s">
        <v>104</v>
      </c>
    </row>
    <row r="234" spans="1:7" ht="136" customHeight="1" outlineLevel="2" x14ac:dyDescent="0.2">
      <c r="A234" s="15" t="s">
        <v>470</v>
      </c>
      <c r="B234" s="16"/>
      <c r="C234" s="16"/>
      <c r="D234" s="15" t="s">
        <v>97</v>
      </c>
      <c r="E234" s="17" t="s">
        <v>471</v>
      </c>
      <c r="F234" s="82" t="s">
        <v>173</v>
      </c>
      <c r="G234" s="51" t="s">
        <v>104</v>
      </c>
    </row>
    <row r="235" spans="1:7" outlineLevel="1" x14ac:dyDescent="0.2">
      <c r="G235" s="21"/>
    </row>
    <row r="236" spans="1:7" ht="19" customHeight="1" outlineLevel="1" x14ac:dyDescent="0.25">
      <c r="C236" s="10" t="s">
        <v>472</v>
      </c>
      <c r="G236" s="21"/>
    </row>
    <row r="237" spans="1:7" ht="187" customHeight="1" outlineLevel="2" x14ac:dyDescent="0.2">
      <c r="A237" s="12" t="s">
        <v>473</v>
      </c>
      <c r="B237" s="13"/>
      <c r="C237" s="13"/>
      <c r="D237" s="12" t="s">
        <v>62</v>
      </c>
      <c r="E237" s="14" t="s">
        <v>474</v>
      </c>
      <c r="F237" s="91" t="s">
        <v>189</v>
      </c>
      <c r="G237" s="50" t="s">
        <v>190</v>
      </c>
    </row>
    <row r="238" spans="1:7" ht="187" customHeight="1" outlineLevel="2" x14ac:dyDescent="0.2">
      <c r="A238" s="15" t="s">
        <v>475</v>
      </c>
      <c r="B238" s="16"/>
      <c r="C238" s="16"/>
      <c r="D238" s="15" t="s">
        <v>67</v>
      </c>
      <c r="E238" s="17" t="s">
        <v>476</v>
      </c>
      <c r="F238" s="82" t="s">
        <v>178</v>
      </c>
      <c r="G238" s="51" t="s">
        <v>104</v>
      </c>
    </row>
    <row r="239" spans="1:7" ht="204" customHeight="1" outlineLevel="2" x14ac:dyDescent="0.2">
      <c r="A239" s="15" t="s">
        <v>477</v>
      </c>
      <c r="B239" s="16"/>
      <c r="C239" s="16"/>
      <c r="D239" s="15" t="s">
        <v>72</v>
      </c>
      <c r="E239" s="17" t="s">
        <v>478</v>
      </c>
      <c r="F239" s="82" t="s">
        <v>186</v>
      </c>
      <c r="G239" s="51" t="s">
        <v>104</v>
      </c>
    </row>
    <row r="240" spans="1:7" outlineLevel="1" x14ac:dyDescent="0.2">
      <c r="G240" s="21"/>
    </row>
    <row r="241" spans="1:7" ht="22" customHeight="1" x14ac:dyDescent="0.3">
      <c r="B241" s="8" t="s">
        <v>479</v>
      </c>
      <c r="G241" s="21"/>
    </row>
    <row r="242" spans="1:7" ht="19" customHeight="1" outlineLevel="1" x14ac:dyDescent="0.25">
      <c r="C242" s="10" t="s">
        <v>480</v>
      </c>
      <c r="G242" s="21"/>
    </row>
    <row r="243" spans="1:7" ht="187" customHeight="1" outlineLevel="2" x14ac:dyDescent="0.2">
      <c r="A243" s="12" t="s">
        <v>481</v>
      </c>
      <c r="B243" s="13"/>
      <c r="C243" s="13"/>
      <c r="D243" s="12" t="s">
        <v>62</v>
      </c>
      <c r="E243" s="14" t="s">
        <v>482</v>
      </c>
      <c r="F243" s="81" t="s">
        <v>114</v>
      </c>
      <c r="G243" s="50" t="s">
        <v>82</v>
      </c>
    </row>
    <row r="244" spans="1:7" ht="136" customHeight="1" outlineLevel="2" x14ac:dyDescent="0.2">
      <c r="A244" s="15" t="s">
        <v>483</v>
      </c>
      <c r="B244" s="16"/>
      <c r="C244" s="16"/>
      <c r="D244" s="15" t="s">
        <v>67</v>
      </c>
      <c r="E244" s="17" t="s">
        <v>484</v>
      </c>
      <c r="F244" s="82" t="s">
        <v>117</v>
      </c>
      <c r="G244" s="51" t="s">
        <v>82</v>
      </c>
    </row>
    <row r="245" spans="1:7" ht="136" customHeight="1" outlineLevel="2" x14ac:dyDescent="0.2">
      <c r="A245" s="15" t="s">
        <v>485</v>
      </c>
      <c r="B245" s="16"/>
      <c r="C245" s="16"/>
      <c r="D245" s="15" t="s">
        <v>72</v>
      </c>
      <c r="E245" s="17" t="s">
        <v>486</v>
      </c>
      <c r="F245" s="82" t="s">
        <v>120</v>
      </c>
      <c r="G245" s="51" t="s">
        <v>82</v>
      </c>
    </row>
    <row r="246" spans="1:7" ht="153" customHeight="1" outlineLevel="2" x14ac:dyDescent="0.2">
      <c r="A246" s="15" t="s">
        <v>487</v>
      </c>
      <c r="B246" s="16"/>
      <c r="C246" s="16"/>
      <c r="D246" s="15" t="s">
        <v>97</v>
      </c>
      <c r="E246" s="17" t="s">
        <v>488</v>
      </c>
      <c r="F246" s="82" t="s">
        <v>160</v>
      </c>
      <c r="G246" s="51" t="s">
        <v>70</v>
      </c>
    </row>
    <row r="247" spans="1:7" ht="136" customHeight="1" outlineLevel="2" x14ac:dyDescent="0.2">
      <c r="A247" s="15" t="s">
        <v>489</v>
      </c>
      <c r="B247" s="16"/>
      <c r="C247" s="16"/>
      <c r="D247" s="15" t="s">
        <v>101</v>
      </c>
      <c r="E247" s="17" t="s">
        <v>490</v>
      </c>
      <c r="F247" s="82" t="s">
        <v>137</v>
      </c>
      <c r="G247" s="51" t="s">
        <v>82</v>
      </c>
    </row>
    <row r="248" spans="1:7" ht="153" customHeight="1" outlineLevel="2" x14ac:dyDescent="0.2">
      <c r="A248" s="15" t="s">
        <v>491</v>
      </c>
      <c r="B248" s="16"/>
      <c r="C248" s="16"/>
      <c r="D248" s="15" t="s">
        <v>139</v>
      </c>
      <c r="E248" s="17" t="s">
        <v>492</v>
      </c>
      <c r="F248" s="82" t="s">
        <v>163</v>
      </c>
      <c r="G248" s="51" t="s">
        <v>70</v>
      </c>
    </row>
    <row r="249" spans="1:7" outlineLevel="1" x14ac:dyDescent="0.2">
      <c r="G249" s="21"/>
    </row>
    <row r="250" spans="1:7" ht="19" customHeight="1" outlineLevel="1" x14ac:dyDescent="0.25">
      <c r="C250" s="10" t="s">
        <v>493</v>
      </c>
      <c r="G250" s="21"/>
    </row>
    <row r="251" spans="1:7" ht="204" customHeight="1" outlineLevel="2" x14ac:dyDescent="0.2">
      <c r="A251" s="12" t="s">
        <v>494</v>
      </c>
      <c r="B251" s="13"/>
      <c r="C251" s="13"/>
      <c r="D251" s="12" t="s">
        <v>62</v>
      </c>
      <c r="E251" s="14" t="s">
        <v>495</v>
      </c>
      <c r="F251" s="81" t="s">
        <v>141</v>
      </c>
      <c r="G251" s="50" t="s">
        <v>82</v>
      </c>
    </row>
    <row r="252" spans="1:7" ht="170" customHeight="1" outlineLevel="2" x14ac:dyDescent="0.2">
      <c r="A252" s="15" t="s">
        <v>496</v>
      </c>
      <c r="B252" s="16"/>
      <c r="C252" s="16"/>
      <c r="D252" s="15" t="s">
        <v>67</v>
      </c>
      <c r="E252" s="17" t="s">
        <v>497</v>
      </c>
      <c r="F252" s="82" t="s">
        <v>103</v>
      </c>
      <c r="G252" s="51" t="s">
        <v>104</v>
      </c>
    </row>
    <row r="253" spans="1:7" outlineLevel="1" x14ac:dyDescent="0.2">
      <c r="G253" s="21"/>
    </row>
    <row r="254" spans="1:7" ht="19" customHeight="1" outlineLevel="1" x14ac:dyDescent="0.25">
      <c r="C254" s="10" t="s">
        <v>498</v>
      </c>
      <c r="G254" s="21"/>
    </row>
    <row r="255" spans="1:7" ht="153" customHeight="1" outlineLevel="2" x14ac:dyDescent="0.2">
      <c r="A255" s="12" t="s">
        <v>499</v>
      </c>
      <c r="B255" s="13"/>
      <c r="C255" s="13"/>
      <c r="D255" s="12" t="s">
        <v>62</v>
      </c>
      <c r="E255" s="14" t="s">
        <v>500</v>
      </c>
      <c r="F255" s="81" t="s">
        <v>69</v>
      </c>
      <c r="G255" s="50" t="s">
        <v>70</v>
      </c>
    </row>
    <row r="256" spans="1:7" ht="136" customHeight="1" outlineLevel="2" x14ac:dyDescent="0.2">
      <c r="A256" s="15" t="s">
        <v>501</v>
      </c>
      <c r="B256" s="16"/>
      <c r="C256" s="16"/>
      <c r="D256" s="15" t="s">
        <v>67</v>
      </c>
      <c r="E256" s="17" t="s">
        <v>502</v>
      </c>
      <c r="F256" s="82" t="s">
        <v>108</v>
      </c>
      <c r="G256" s="51" t="s">
        <v>104</v>
      </c>
    </row>
    <row r="257" spans="1:7" ht="170" customHeight="1" outlineLevel="2" x14ac:dyDescent="0.2">
      <c r="A257" s="15" t="s">
        <v>503</v>
      </c>
      <c r="B257" s="16"/>
      <c r="C257" s="16"/>
      <c r="D257" s="15" t="s">
        <v>72</v>
      </c>
      <c r="E257" s="17" t="s">
        <v>504</v>
      </c>
      <c r="F257" s="82" t="s">
        <v>154</v>
      </c>
      <c r="G257" s="51" t="s">
        <v>82</v>
      </c>
    </row>
    <row r="258" spans="1:7" outlineLevel="1" x14ac:dyDescent="0.2">
      <c r="G258" s="21"/>
    </row>
    <row r="259" spans="1:7" ht="19" customHeight="1" outlineLevel="1" x14ac:dyDescent="0.25">
      <c r="C259" s="10" t="s">
        <v>505</v>
      </c>
      <c r="G259" s="21"/>
    </row>
    <row r="260" spans="1:7" ht="170" customHeight="1" outlineLevel="2" x14ac:dyDescent="0.2">
      <c r="A260" s="12" t="s">
        <v>506</v>
      </c>
      <c r="B260" s="13"/>
      <c r="C260" s="13"/>
      <c r="D260" s="12" t="s">
        <v>62</v>
      </c>
      <c r="E260" s="14" t="s">
        <v>507</v>
      </c>
      <c r="F260" s="81" t="s">
        <v>74</v>
      </c>
      <c r="G260" s="50" t="s">
        <v>70</v>
      </c>
    </row>
    <row r="261" spans="1:7" ht="136" customHeight="1" outlineLevel="2" x14ac:dyDescent="0.2">
      <c r="A261" s="15" t="s">
        <v>508</v>
      </c>
      <c r="B261" s="16"/>
      <c r="C261" s="16"/>
      <c r="D261" s="15" t="s">
        <v>67</v>
      </c>
      <c r="E261" s="17" t="s">
        <v>509</v>
      </c>
      <c r="F261" s="82" t="s">
        <v>125</v>
      </c>
      <c r="G261" s="51" t="s">
        <v>104</v>
      </c>
    </row>
    <row r="262" spans="1:7" ht="170" customHeight="1" outlineLevel="2" x14ac:dyDescent="0.2">
      <c r="A262" s="15" t="s">
        <v>510</v>
      </c>
      <c r="B262" s="16"/>
      <c r="C262" s="16"/>
      <c r="D262" s="15" t="s">
        <v>72</v>
      </c>
      <c r="E262" s="17" t="s">
        <v>511</v>
      </c>
      <c r="F262" s="82" t="s">
        <v>131</v>
      </c>
      <c r="G262" s="51" t="s">
        <v>104</v>
      </c>
    </row>
    <row r="263" spans="1:7" ht="153" customHeight="1" outlineLevel="2" x14ac:dyDescent="0.2">
      <c r="A263" s="15" t="s">
        <v>512</v>
      </c>
      <c r="B263" s="16"/>
      <c r="C263" s="16"/>
      <c r="D263" s="15" t="s">
        <v>97</v>
      </c>
      <c r="E263" s="17" t="s">
        <v>513</v>
      </c>
      <c r="F263" s="82" t="s">
        <v>78</v>
      </c>
      <c r="G263" s="51" t="s">
        <v>70</v>
      </c>
    </row>
    <row r="264" spans="1:7" outlineLevel="1" x14ac:dyDescent="0.2">
      <c r="G264" s="21"/>
    </row>
    <row r="265" spans="1:7" ht="19" customHeight="1" outlineLevel="1" x14ac:dyDescent="0.25">
      <c r="C265" s="10" t="s">
        <v>514</v>
      </c>
      <c r="G265" s="21"/>
    </row>
    <row r="266" spans="1:7" ht="153" customHeight="1" outlineLevel="2" x14ac:dyDescent="0.2">
      <c r="A266" s="12" t="s">
        <v>515</v>
      </c>
      <c r="B266" s="13"/>
      <c r="C266" s="13"/>
      <c r="D266" s="12" t="s">
        <v>62</v>
      </c>
      <c r="E266" s="14" t="s">
        <v>516</v>
      </c>
      <c r="F266" s="91" t="s">
        <v>330</v>
      </c>
      <c r="G266" s="50" t="s">
        <v>281</v>
      </c>
    </row>
    <row r="267" spans="1:7" ht="170" customHeight="1" outlineLevel="2" x14ac:dyDescent="0.2">
      <c r="A267" s="15" t="s">
        <v>517</v>
      </c>
      <c r="B267" s="16"/>
      <c r="C267" s="16"/>
      <c r="D267" s="15" t="s">
        <v>67</v>
      </c>
      <c r="E267" s="17" t="s">
        <v>518</v>
      </c>
      <c r="F267" s="82" t="s">
        <v>89</v>
      </c>
      <c r="G267" s="51" t="s">
        <v>70</v>
      </c>
    </row>
    <row r="268" spans="1:7" ht="170" customHeight="1" outlineLevel="2" x14ac:dyDescent="0.2">
      <c r="A268" s="15" t="s">
        <v>519</v>
      </c>
      <c r="B268" s="16"/>
      <c r="C268" s="16"/>
      <c r="D268" s="15" t="s">
        <v>72</v>
      </c>
      <c r="E268" s="17" t="s">
        <v>520</v>
      </c>
      <c r="F268" s="82" t="s">
        <v>81</v>
      </c>
      <c r="G268" s="51" t="s">
        <v>82</v>
      </c>
    </row>
    <row r="269" spans="1:7" outlineLevel="1" x14ac:dyDescent="0.2">
      <c r="G269" s="21"/>
    </row>
    <row r="270" spans="1:7" ht="22" customHeight="1" x14ac:dyDescent="0.3">
      <c r="B270" s="8" t="s">
        <v>521</v>
      </c>
      <c r="G270" s="21"/>
    </row>
    <row r="271" spans="1:7" ht="19" customHeight="1" outlineLevel="1" x14ac:dyDescent="0.25">
      <c r="C271" s="10" t="s">
        <v>522</v>
      </c>
      <c r="G271" s="21"/>
    </row>
    <row r="272" spans="1:7" ht="187" customHeight="1" outlineLevel="2" x14ac:dyDescent="0.2">
      <c r="A272" s="12" t="s">
        <v>523</v>
      </c>
      <c r="B272" s="13"/>
      <c r="C272" s="13"/>
      <c r="D272" s="12" t="s">
        <v>62</v>
      </c>
      <c r="E272" s="14" t="s">
        <v>524</v>
      </c>
      <c r="F272" s="81" t="s">
        <v>219</v>
      </c>
      <c r="G272" s="50" t="s">
        <v>65</v>
      </c>
    </row>
    <row r="273" spans="1:7" ht="187" customHeight="1" outlineLevel="2" x14ac:dyDescent="0.2">
      <c r="A273" s="15" t="s">
        <v>525</v>
      </c>
      <c r="B273" s="16"/>
      <c r="C273" s="16"/>
      <c r="D273" s="15" t="s">
        <v>67</v>
      </c>
      <c r="E273" s="17" t="s">
        <v>526</v>
      </c>
      <c r="F273" s="82" t="s">
        <v>85</v>
      </c>
      <c r="G273" s="51" t="s">
        <v>82</v>
      </c>
    </row>
    <row r="274" spans="1:7" outlineLevel="1" x14ac:dyDescent="0.2">
      <c r="G274" s="21"/>
    </row>
    <row r="275" spans="1:7" ht="19" customHeight="1" outlineLevel="1" x14ac:dyDescent="0.25">
      <c r="C275" s="10" t="s">
        <v>527</v>
      </c>
      <c r="G275" s="21"/>
    </row>
    <row r="276" spans="1:7" ht="187" customHeight="1" outlineLevel="2" x14ac:dyDescent="0.2">
      <c r="A276" s="12" t="s">
        <v>528</v>
      </c>
      <c r="B276" s="13"/>
      <c r="C276" s="13"/>
      <c r="D276" s="12" t="s">
        <v>62</v>
      </c>
      <c r="E276" s="14" t="s">
        <v>529</v>
      </c>
      <c r="F276" s="81" t="s">
        <v>222</v>
      </c>
      <c r="G276" s="50" t="s">
        <v>65</v>
      </c>
    </row>
    <row r="277" spans="1:7" outlineLevel="1" x14ac:dyDescent="0.2">
      <c r="G277" s="21"/>
    </row>
    <row r="278" spans="1:7" ht="19" customHeight="1" outlineLevel="1" x14ac:dyDescent="0.25">
      <c r="C278" s="10" t="s">
        <v>530</v>
      </c>
      <c r="G278" s="21"/>
    </row>
    <row r="279" spans="1:7" ht="187" customHeight="1" outlineLevel="2" x14ac:dyDescent="0.2">
      <c r="A279" s="12" t="s">
        <v>531</v>
      </c>
      <c r="B279" s="13"/>
      <c r="C279" s="13"/>
      <c r="D279" s="12" t="s">
        <v>62</v>
      </c>
      <c r="E279" s="14" t="s">
        <v>532</v>
      </c>
      <c r="F279" s="81" t="s">
        <v>92</v>
      </c>
      <c r="G279" s="50" t="s">
        <v>82</v>
      </c>
    </row>
    <row r="280" spans="1:7" outlineLevel="1" x14ac:dyDescent="0.2">
      <c r="G280" s="21"/>
    </row>
    <row r="281" spans="1:7" ht="19" customHeight="1" outlineLevel="1" x14ac:dyDescent="0.25">
      <c r="C281" s="10" t="s">
        <v>533</v>
      </c>
      <c r="G281" s="21"/>
    </row>
    <row r="282" spans="1:7" ht="153" customHeight="1" outlineLevel="2" x14ac:dyDescent="0.2">
      <c r="A282" s="12" t="s">
        <v>534</v>
      </c>
      <c r="B282" s="13"/>
      <c r="C282" s="13"/>
      <c r="D282" s="12" t="s">
        <v>62</v>
      </c>
      <c r="E282" s="14" t="s">
        <v>535</v>
      </c>
      <c r="F282" s="81" t="s">
        <v>253</v>
      </c>
      <c r="G282" s="50" t="s">
        <v>65</v>
      </c>
    </row>
    <row r="283" spans="1:7" ht="153" customHeight="1" outlineLevel="2" x14ac:dyDescent="0.2">
      <c r="A283" s="15" t="s">
        <v>536</v>
      </c>
      <c r="B283" s="16"/>
      <c r="C283" s="16"/>
      <c r="D283" s="15" t="s">
        <v>67</v>
      </c>
      <c r="E283" s="17" t="s">
        <v>537</v>
      </c>
      <c r="F283" s="82" t="s">
        <v>111</v>
      </c>
      <c r="G283" s="51" t="s">
        <v>82</v>
      </c>
    </row>
    <row r="284" spans="1:7" ht="136" customHeight="1" outlineLevel="2" x14ac:dyDescent="0.2">
      <c r="A284" s="15" t="s">
        <v>538</v>
      </c>
      <c r="B284" s="16"/>
      <c r="C284" s="16"/>
      <c r="D284" s="15" t="s">
        <v>72</v>
      </c>
      <c r="E284" s="17" t="s">
        <v>539</v>
      </c>
      <c r="F284" s="82" t="s">
        <v>114</v>
      </c>
      <c r="G284" s="51" t="s">
        <v>82</v>
      </c>
    </row>
    <row r="285" spans="1:7" outlineLevel="1" x14ac:dyDescent="0.2">
      <c r="G285" s="21"/>
    </row>
    <row r="286" spans="1:7" ht="22" customHeight="1" x14ac:dyDescent="0.3">
      <c r="B286" s="8" t="s">
        <v>540</v>
      </c>
      <c r="G286" s="21"/>
    </row>
    <row r="287" spans="1:7" ht="19" customHeight="1" outlineLevel="1" x14ac:dyDescent="0.25">
      <c r="C287" s="10" t="s">
        <v>541</v>
      </c>
      <c r="G287" s="21"/>
    </row>
    <row r="288" spans="1:7" ht="153" customHeight="1" outlineLevel="2" x14ac:dyDescent="0.2">
      <c r="A288" s="12" t="s">
        <v>542</v>
      </c>
      <c r="B288" s="13"/>
      <c r="C288" s="13"/>
      <c r="D288" s="12" t="s">
        <v>62</v>
      </c>
      <c r="E288" s="14" t="s">
        <v>543</v>
      </c>
      <c r="F288" s="81" t="s">
        <v>95</v>
      </c>
      <c r="G288" s="50" t="s">
        <v>70</v>
      </c>
    </row>
    <row r="289" spans="1:7" ht="187" customHeight="1" outlineLevel="2" x14ac:dyDescent="0.2">
      <c r="A289" s="15" t="s">
        <v>544</v>
      </c>
      <c r="B289" s="16"/>
      <c r="C289" s="16"/>
      <c r="D289" s="15" t="s">
        <v>67</v>
      </c>
      <c r="E289" s="17" t="s">
        <v>545</v>
      </c>
      <c r="F289" s="82" t="s">
        <v>117</v>
      </c>
      <c r="G289" s="51" t="s">
        <v>82</v>
      </c>
    </row>
    <row r="290" spans="1:7" ht="187" customHeight="1" outlineLevel="2" x14ac:dyDescent="0.2">
      <c r="A290" s="15" t="s">
        <v>546</v>
      </c>
      <c r="B290" s="16"/>
      <c r="C290" s="16"/>
      <c r="D290" s="15" t="s">
        <v>72</v>
      </c>
      <c r="E290" s="17" t="s">
        <v>547</v>
      </c>
      <c r="F290" s="82" t="s">
        <v>120</v>
      </c>
      <c r="G290" s="51" t="s">
        <v>82</v>
      </c>
    </row>
    <row r="291" spans="1:7" ht="170" customHeight="1" outlineLevel="2" x14ac:dyDescent="0.2">
      <c r="A291" s="15" t="s">
        <v>548</v>
      </c>
      <c r="B291" s="16"/>
      <c r="C291" s="16"/>
      <c r="D291" s="15" t="s">
        <v>97</v>
      </c>
      <c r="E291" s="17" t="s">
        <v>549</v>
      </c>
      <c r="F291" s="82" t="s">
        <v>137</v>
      </c>
      <c r="G291" s="51" t="s">
        <v>82</v>
      </c>
    </row>
    <row r="292" spans="1:7" outlineLevel="1" x14ac:dyDescent="0.2">
      <c r="G292" s="21"/>
    </row>
    <row r="293" spans="1:7" ht="19" customHeight="1" outlineLevel="1" x14ac:dyDescent="0.25">
      <c r="C293" s="10" t="s">
        <v>550</v>
      </c>
      <c r="G293" s="21"/>
    </row>
    <row r="294" spans="1:7" ht="187" customHeight="1" outlineLevel="2" x14ac:dyDescent="0.2">
      <c r="A294" s="12" t="s">
        <v>551</v>
      </c>
      <c r="B294" s="13"/>
      <c r="C294" s="13"/>
      <c r="D294" s="12" t="s">
        <v>62</v>
      </c>
      <c r="E294" s="14" t="s">
        <v>552</v>
      </c>
      <c r="F294" s="91" t="s">
        <v>274</v>
      </c>
      <c r="G294" s="50" t="s">
        <v>190</v>
      </c>
    </row>
    <row r="295" spans="1:7" ht="153" customHeight="1" outlineLevel="2" x14ac:dyDescent="0.2">
      <c r="A295" s="15" t="s">
        <v>553</v>
      </c>
      <c r="B295" s="16"/>
      <c r="C295" s="16"/>
      <c r="D295" s="15" t="s">
        <v>67</v>
      </c>
      <c r="E295" s="17" t="s">
        <v>554</v>
      </c>
      <c r="F295" s="82" t="s">
        <v>141</v>
      </c>
      <c r="G295" s="51" t="s">
        <v>82</v>
      </c>
    </row>
    <row r="296" spans="1:7" outlineLevel="1" x14ac:dyDescent="0.2">
      <c r="G296" s="21"/>
    </row>
    <row r="297" spans="1:7" ht="22" customHeight="1" x14ac:dyDescent="0.3">
      <c r="B297" s="8" t="s">
        <v>555</v>
      </c>
      <c r="G297" s="21"/>
    </row>
    <row r="298" spans="1:7" ht="19" customHeight="1" outlineLevel="1" x14ac:dyDescent="0.25">
      <c r="C298" s="10" t="s">
        <v>556</v>
      </c>
      <c r="G298" s="21"/>
    </row>
    <row r="299" spans="1:7" ht="153" customHeight="1" outlineLevel="2" x14ac:dyDescent="0.2">
      <c r="A299" s="12" t="s">
        <v>557</v>
      </c>
      <c r="B299" s="13"/>
      <c r="C299" s="13"/>
      <c r="D299" s="12" t="s">
        <v>62</v>
      </c>
      <c r="E299" s="14" t="s">
        <v>558</v>
      </c>
      <c r="F299" s="81" t="s">
        <v>99</v>
      </c>
      <c r="G299" s="50" t="s">
        <v>70</v>
      </c>
    </row>
    <row r="300" spans="1:7" ht="153" customHeight="1" outlineLevel="2" x14ac:dyDescent="0.2">
      <c r="A300" s="15" t="s">
        <v>559</v>
      </c>
      <c r="B300" s="16"/>
      <c r="C300" s="16"/>
      <c r="D300" s="15" t="s">
        <v>67</v>
      </c>
      <c r="E300" s="17" t="s">
        <v>560</v>
      </c>
      <c r="F300" s="82" t="s">
        <v>128</v>
      </c>
      <c r="G300" s="51" t="s">
        <v>70</v>
      </c>
    </row>
    <row r="301" spans="1:7" ht="136" customHeight="1" outlineLevel="2" x14ac:dyDescent="0.2">
      <c r="A301" s="15" t="s">
        <v>561</v>
      </c>
      <c r="B301" s="16"/>
      <c r="C301" s="16"/>
      <c r="D301" s="15" t="s">
        <v>72</v>
      </c>
      <c r="E301" s="17" t="s">
        <v>562</v>
      </c>
      <c r="F301" s="82" t="s">
        <v>148</v>
      </c>
      <c r="G301" s="51" t="s">
        <v>70</v>
      </c>
    </row>
    <row r="302" spans="1:7" ht="136" customHeight="1" outlineLevel="2" x14ac:dyDescent="0.2">
      <c r="A302" s="15" t="s">
        <v>563</v>
      </c>
      <c r="B302" s="16"/>
      <c r="C302" s="16"/>
      <c r="D302" s="15" t="s">
        <v>97</v>
      </c>
      <c r="E302" s="17" t="s">
        <v>564</v>
      </c>
      <c r="F302" s="82" t="s">
        <v>160</v>
      </c>
      <c r="G302" s="51" t="s">
        <v>70</v>
      </c>
    </row>
    <row r="303" spans="1:7" ht="136" customHeight="1" outlineLevel="2" x14ac:dyDescent="0.2">
      <c r="A303" s="15" t="s">
        <v>565</v>
      </c>
      <c r="B303" s="16"/>
      <c r="C303" s="16"/>
      <c r="D303" s="15" t="s">
        <v>101</v>
      </c>
      <c r="E303" s="17" t="s">
        <v>566</v>
      </c>
      <c r="F303" s="92" t="s">
        <v>344</v>
      </c>
      <c r="G303" s="51" t="s">
        <v>281</v>
      </c>
    </row>
    <row r="304" spans="1:7" outlineLevel="1" x14ac:dyDescent="0.2">
      <c r="G304" s="21"/>
    </row>
    <row r="305" spans="1:7" ht="19" customHeight="1" outlineLevel="1" x14ac:dyDescent="0.25">
      <c r="C305" s="10" t="s">
        <v>567</v>
      </c>
      <c r="G305" s="21"/>
    </row>
    <row r="306" spans="1:7" ht="153" customHeight="1" outlineLevel="2" x14ac:dyDescent="0.2">
      <c r="A306" s="12" t="s">
        <v>568</v>
      </c>
      <c r="B306" s="13"/>
      <c r="C306" s="13"/>
      <c r="D306" s="12" t="s">
        <v>62</v>
      </c>
      <c r="E306" s="14" t="s">
        <v>569</v>
      </c>
      <c r="F306" s="81" t="s">
        <v>260</v>
      </c>
      <c r="G306" s="50" t="s">
        <v>65</v>
      </c>
    </row>
    <row r="307" spans="1:7" ht="153" customHeight="1" outlineLevel="2" x14ac:dyDescent="0.2">
      <c r="A307" s="15" t="s">
        <v>570</v>
      </c>
      <c r="B307" s="16"/>
      <c r="C307" s="16"/>
      <c r="D307" s="15" t="s">
        <v>67</v>
      </c>
      <c r="E307" s="17" t="s">
        <v>571</v>
      </c>
      <c r="F307" s="82" t="s">
        <v>154</v>
      </c>
      <c r="G307" s="51" t="s">
        <v>82</v>
      </c>
    </row>
    <row r="308" spans="1:7" ht="153" customHeight="1" outlineLevel="2" x14ac:dyDescent="0.2">
      <c r="A308" s="15" t="s">
        <v>572</v>
      </c>
      <c r="B308" s="16"/>
      <c r="C308" s="16"/>
      <c r="D308" s="15" t="s">
        <v>72</v>
      </c>
      <c r="E308" s="17" t="s">
        <v>573</v>
      </c>
      <c r="F308" s="82" t="s">
        <v>163</v>
      </c>
      <c r="G308" s="51" t="s">
        <v>70</v>
      </c>
    </row>
    <row r="309" spans="1:7" outlineLevel="1" x14ac:dyDescent="0.2">
      <c r="G309" s="21"/>
    </row>
    <row r="310" spans="1:7" ht="19" customHeight="1" outlineLevel="1" x14ac:dyDescent="0.25">
      <c r="C310" s="10" t="s">
        <v>574</v>
      </c>
      <c r="G310" s="21"/>
    </row>
    <row r="311" spans="1:7" ht="153" customHeight="1" outlineLevel="2" x14ac:dyDescent="0.2">
      <c r="A311" s="12" t="s">
        <v>575</v>
      </c>
      <c r="B311" s="13"/>
      <c r="C311" s="13"/>
      <c r="D311" s="12" t="s">
        <v>62</v>
      </c>
      <c r="E311" s="14" t="s">
        <v>576</v>
      </c>
      <c r="F311" s="81" t="s">
        <v>134</v>
      </c>
      <c r="G311" s="50" t="s">
        <v>104</v>
      </c>
    </row>
    <row r="312" spans="1:7" ht="153" customHeight="1" outlineLevel="2" x14ac:dyDescent="0.2">
      <c r="A312" s="15" t="s">
        <v>577</v>
      </c>
      <c r="B312" s="16"/>
      <c r="C312" s="16"/>
      <c r="D312" s="15" t="s">
        <v>67</v>
      </c>
      <c r="E312" s="17" t="s">
        <v>578</v>
      </c>
      <c r="F312" s="82" t="s">
        <v>81</v>
      </c>
      <c r="G312" s="51" t="s">
        <v>82</v>
      </c>
    </row>
    <row r="313" spans="1:7" ht="153" customHeight="1" outlineLevel="2" x14ac:dyDescent="0.2">
      <c r="A313" s="15" t="s">
        <v>579</v>
      </c>
      <c r="B313" s="16"/>
      <c r="C313" s="16"/>
      <c r="D313" s="15" t="s">
        <v>72</v>
      </c>
      <c r="E313" s="17" t="s">
        <v>580</v>
      </c>
      <c r="F313" s="82" t="s">
        <v>85</v>
      </c>
      <c r="G313" s="51" t="s">
        <v>82</v>
      </c>
    </row>
    <row r="314" spans="1:7" outlineLevel="1" x14ac:dyDescent="0.2"/>
  </sheetData>
  <pageMargins left="0.25" right="0.25" top="0.75" bottom="0.75" header="0.3" footer="0.3"/>
  <pageSetup pageOrder="overThenDown"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M68"/>
  <sheetViews>
    <sheetView zoomScaleNormal="100" workbookViewId="0">
      <pane ySplit="2" topLeftCell="A3" activePane="bottomLeft" state="frozen"/>
      <selection pane="bottomLeft"/>
    </sheetView>
  </sheetViews>
  <sheetFormatPr baseColWidth="10" defaultRowHeight="16" x14ac:dyDescent="0.2"/>
  <cols>
    <col min="1" max="1" width="3.33203125" customWidth="1"/>
    <col min="2" max="2" width="12.83203125" customWidth="1"/>
    <col min="3" max="3" width="50" customWidth="1"/>
    <col min="4" max="4" width="14.83203125" customWidth="1"/>
    <col min="5" max="10" width="16.83203125" customWidth="1"/>
    <col min="11" max="11" width="10" customWidth="1"/>
    <col min="12" max="12" width="7.33203125" customWidth="1"/>
    <col min="13" max="13" width="10" customWidth="1"/>
  </cols>
  <sheetData>
    <row r="2" spans="2:13" ht="24" customHeight="1" thickBot="1" x14ac:dyDescent="0.25">
      <c r="D2" s="25" t="s">
        <v>581</v>
      </c>
      <c r="E2" s="22" t="s">
        <v>582</v>
      </c>
      <c r="F2" s="21" t="s">
        <v>583</v>
      </c>
      <c r="G2" s="21" t="s">
        <v>584</v>
      </c>
      <c r="H2" s="21" t="s">
        <v>585</v>
      </c>
      <c r="I2" s="21" t="s">
        <v>586</v>
      </c>
      <c r="J2" s="21" t="s">
        <v>587</v>
      </c>
      <c r="K2" s="21" t="s">
        <v>588</v>
      </c>
      <c r="L2" s="21" t="s">
        <v>589</v>
      </c>
      <c r="M2" s="21" t="s">
        <v>590</v>
      </c>
    </row>
    <row r="3" spans="2:13" ht="24" customHeight="1" thickTop="1" thickBot="1" x14ac:dyDescent="0.25">
      <c r="C3" s="23" t="s">
        <v>591</v>
      </c>
      <c r="D3" s="67">
        <v>198</v>
      </c>
      <c r="E3" s="68">
        <f t="shared" ref="E3:J3" si="0">N(E8)+N(E15)+N(E19)+N(E26)+N(E31)+N(E35)+N(E40)+N(E44)+N(E49)+N(E55)+N(E60)+N(E63)+N(E67)</f>
        <v>9</v>
      </c>
      <c r="F3" s="69">
        <f t="shared" si="0"/>
        <v>7</v>
      </c>
      <c r="G3" s="69">
        <f t="shared" si="0"/>
        <v>72</v>
      </c>
      <c r="H3" s="69">
        <f t="shared" si="0"/>
        <v>15</v>
      </c>
      <c r="I3" s="69">
        <f t="shared" si="0"/>
        <v>55</v>
      </c>
      <c r="J3" s="70">
        <f t="shared" si="0"/>
        <v>40</v>
      </c>
      <c r="K3" s="71">
        <f t="shared" ref="K3:K34" si="1">N(H3)+(N(I3)*2)+(N(J3)*3)</f>
        <v>245</v>
      </c>
      <c r="L3" s="72" t="s">
        <v>592</v>
      </c>
      <c r="M3" s="73">
        <f t="shared" ref="M3:M34" si="2">(SUM(F3:J3)*3)</f>
        <v>567</v>
      </c>
    </row>
    <row r="4" spans="2:13" ht="30" customHeight="1" thickTop="1" thickBot="1" x14ac:dyDescent="0.25">
      <c r="B4" s="106" t="s">
        <v>593</v>
      </c>
      <c r="C4" s="30" t="s">
        <v>594</v>
      </c>
      <c r="D4" s="26">
        <v>3</v>
      </c>
      <c r="E4" s="38" t="str">
        <f>_xlfn.LET(_xlpm.na,COUNTIF('Question Set'!$G$4:$G$6,"Not Applicable"),IF(_xlpm.na=0,"-",_xlpm.na))</f>
        <v>-</v>
      </c>
      <c r="F4" s="39" t="str">
        <f>_xlfn.LET(_xlpm.u,COUNTIF('Question Set'!$G$4:$G$6,"Unknown"),IF(_xlpm.u=0,"-",_xlpm.u))</f>
        <v>-</v>
      </c>
      <c r="G4" s="39" t="str">
        <f>_xlfn.LET(_xlpm.n,COUNTIF('Question Set'!$G$4:$G$6,"No"),IF(_xlpm.n=0,"-",_xlpm.n))</f>
        <v>-</v>
      </c>
      <c r="H4" s="39">
        <f>_xlfn.LET(_xlpm.pl,COUNTIF('Question Set'!$G$4:$G$6,"Planned"),IF(_xlpm.pl=0,"-",_xlpm.pl))</f>
        <v>1</v>
      </c>
      <c r="I4" s="39" t="str">
        <f>_xlfn.LET(_xlpm.ip,COUNTIF('Question Set'!$G$4:$G$6,"In Progress"),IF(_xlpm.ip=0,"-",_xlpm.ip))</f>
        <v>-</v>
      </c>
      <c r="J4" s="39">
        <f>_xlfn.LET(_xlpm.y,COUNTIF('Question Set'!$G$4:$G$6,"Yes"),IF(_xlpm.y=0,"-",_xlpm.y))</f>
        <v>2</v>
      </c>
      <c r="K4" s="52">
        <f t="shared" si="1"/>
        <v>7</v>
      </c>
      <c r="L4" s="53" t="s">
        <v>592</v>
      </c>
      <c r="M4" s="26">
        <f t="shared" si="2"/>
        <v>9</v>
      </c>
    </row>
    <row r="5" spans="2:13" ht="30" customHeight="1" thickTop="1" thickBot="1" x14ac:dyDescent="0.25">
      <c r="B5" s="107"/>
      <c r="C5" s="31" t="s">
        <v>595</v>
      </c>
      <c r="D5" s="27">
        <v>3</v>
      </c>
      <c r="E5" s="40" t="str">
        <f>_xlfn.LET(_xlpm.na,COUNTIF('Question Set'!$G$9:$G$11,"Not Applicable"),IF(_xlpm.na=0,"-",_xlpm.na))</f>
        <v>-</v>
      </c>
      <c r="F5" s="41" t="str">
        <f>_xlfn.LET(_xlpm.u,COUNTIF('Question Set'!$G$9:$G$11,"Unknown"),IF(_xlpm.u=0,"-",_xlpm.u))</f>
        <v>-</v>
      </c>
      <c r="G5" s="41">
        <f>_xlfn.LET(_xlpm.n,COUNTIF('Question Set'!$G$9:$G$11,"No"),IF(_xlpm.n=0,"-",_xlpm.n))</f>
        <v>2</v>
      </c>
      <c r="H5" s="41" t="str">
        <f>_xlfn.LET(_xlpm.pl,COUNTIF('Question Set'!$G$9:$G$11,"Planned"),IF(_xlpm.pl=0,"-",_xlpm.pl))</f>
        <v>-</v>
      </c>
      <c r="I5" s="41" t="str">
        <f>_xlfn.LET(_xlpm.ip,COUNTIF('Question Set'!$G$9:$G$11,"In Progress"),IF(_xlpm.ip=0,"-",_xlpm.ip))</f>
        <v>-</v>
      </c>
      <c r="J5" s="42">
        <f>_xlfn.LET(_xlpm.y,COUNTIF('Question Set'!$G$9:$G$11,"Yes"),IF(_xlpm.y=0,"-",_xlpm.y))</f>
        <v>1</v>
      </c>
      <c r="K5" s="54">
        <f t="shared" si="1"/>
        <v>3</v>
      </c>
      <c r="L5" s="20" t="s">
        <v>592</v>
      </c>
      <c r="M5" s="27">
        <f t="shared" si="2"/>
        <v>9</v>
      </c>
    </row>
    <row r="6" spans="2:13" ht="30" customHeight="1" thickTop="1" thickBot="1" x14ac:dyDescent="0.25">
      <c r="B6" s="107"/>
      <c r="C6" s="31" t="s">
        <v>596</v>
      </c>
      <c r="D6" s="27">
        <v>5</v>
      </c>
      <c r="E6" s="40" t="str">
        <f>_xlfn.LET(_xlpm.na,COUNTIF('Question Set'!$G$14:$G$18,"Not Applicable"),IF(_xlpm.na=0,"-",_xlpm.na))</f>
        <v>-</v>
      </c>
      <c r="F6" s="41" t="str">
        <f>_xlfn.LET(_xlpm.u,COUNTIF('Question Set'!$G$14:$G$18,"Unknown"),IF(_xlpm.u=0,"-",_xlpm.u))</f>
        <v>-</v>
      </c>
      <c r="G6" s="41">
        <f>_xlfn.LET(_xlpm.n,COUNTIF('Question Set'!$G$14:$G$18,"No"),IF(_xlpm.n=0,"-",_xlpm.n))</f>
        <v>1</v>
      </c>
      <c r="H6" s="41" t="str">
        <f>_xlfn.LET(_xlpm.pl,COUNTIF('Question Set'!$G$14:$G$18,"Planned"),IF(_xlpm.pl=0,"-",_xlpm.pl))</f>
        <v>-</v>
      </c>
      <c r="I6" s="41">
        <f>_xlfn.LET(_xlpm.ip,COUNTIF('Question Set'!$G$14:$G$18,"In Progress"),IF(_xlpm.ip=0,"-",_xlpm.ip))</f>
        <v>1</v>
      </c>
      <c r="J6" s="42">
        <f>_xlfn.LET(_xlpm.y,COUNTIF('Question Set'!$G$14:$G$18,"Yes"),IF(_xlpm.y=0,"-",_xlpm.y))</f>
        <v>3</v>
      </c>
      <c r="K6" s="54">
        <f t="shared" si="1"/>
        <v>11</v>
      </c>
      <c r="L6" s="20" t="s">
        <v>592</v>
      </c>
      <c r="M6" s="27">
        <f t="shared" si="2"/>
        <v>15</v>
      </c>
    </row>
    <row r="7" spans="2:13" ht="30" customHeight="1" thickTop="1" thickBot="1" x14ac:dyDescent="0.25">
      <c r="B7" s="107"/>
      <c r="C7" s="32" t="s">
        <v>597</v>
      </c>
      <c r="D7" s="28">
        <v>5</v>
      </c>
      <c r="E7" s="43" t="str">
        <f>_xlfn.LET(_xlpm.na,COUNTIF('Question Set'!$G$21:$G$25,"Not Applicable"),IF(_xlpm.na=0,"-",_xlpm.na))</f>
        <v>-</v>
      </c>
      <c r="F7" s="44" t="str">
        <f>_xlfn.LET(_xlpm.u,COUNTIF('Question Set'!$G$21:$G$25,"Unknown"),IF(_xlpm.u=0,"-",_xlpm.u))</f>
        <v>-</v>
      </c>
      <c r="G7" s="44">
        <f>_xlfn.LET(_xlpm.n,COUNTIF('Question Set'!$G$21:$G$25,"No"),IF(_xlpm.n=0,"-",_xlpm.n))</f>
        <v>4</v>
      </c>
      <c r="H7" s="44" t="str">
        <f>_xlfn.LET(_xlpm.pl,COUNTIF('Question Set'!$G$21:$G$25,"Planned"),IF(_xlpm.pl=0,"-",_xlpm.pl))</f>
        <v>-</v>
      </c>
      <c r="I7" s="44">
        <f>_xlfn.LET(_xlpm.ip,COUNTIF('Question Set'!$G$21:$G$25,"In Progress"),IF(_xlpm.ip=0,"-",_xlpm.ip))</f>
        <v>1</v>
      </c>
      <c r="J7" s="45" t="str">
        <f>_xlfn.LET(_xlpm.y,COUNTIF('Question Set'!$G$21:$G$25,"Yes"),IF(_xlpm.y=0,"-",_xlpm.y))</f>
        <v>-</v>
      </c>
      <c r="K7" s="55">
        <f t="shared" si="1"/>
        <v>2</v>
      </c>
      <c r="L7" s="56" t="s">
        <v>592</v>
      </c>
      <c r="M7" s="28">
        <f t="shared" si="2"/>
        <v>15</v>
      </c>
    </row>
    <row r="8" spans="2:13" ht="30" customHeight="1" thickTop="1" thickBot="1" x14ac:dyDescent="0.25">
      <c r="B8" s="108"/>
      <c r="C8" s="33" t="s">
        <v>598</v>
      </c>
      <c r="D8" s="60">
        <f>SUM(D4:D7)</f>
        <v>16</v>
      </c>
      <c r="E8" s="61" t="str">
        <f t="shared" ref="E8:J8" si="3">_xlfn.LET(_xlpm.x,(SUM(E4:E7)),IF(_xlpm.x=0,"-",_xlpm.x))</f>
        <v>-</v>
      </c>
      <c r="F8" s="62" t="str">
        <f t="shared" si="3"/>
        <v>-</v>
      </c>
      <c r="G8" s="62">
        <f t="shared" si="3"/>
        <v>7</v>
      </c>
      <c r="H8" s="62">
        <f t="shared" si="3"/>
        <v>1</v>
      </c>
      <c r="I8" s="62">
        <f t="shared" si="3"/>
        <v>2</v>
      </c>
      <c r="J8" s="63">
        <f t="shared" si="3"/>
        <v>6</v>
      </c>
      <c r="K8" s="64">
        <f t="shared" si="1"/>
        <v>23</v>
      </c>
      <c r="L8" s="65" t="s">
        <v>592</v>
      </c>
      <c r="M8" s="60">
        <f t="shared" si="2"/>
        <v>48</v>
      </c>
    </row>
    <row r="9" spans="2:13" ht="30" customHeight="1" thickTop="1" thickBot="1" x14ac:dyDescent="0.25">
      <c r="B9" s="106" t="s">
        <v>599</v>
      </c>
      <c r="C9" s="34" t="s">
        <v>600</v>
      </c>
      <c r="D9" s="29">
        <v>6</v>
      </c>
      <c r="E9" s="46" t="str">
        <f>_xlfn.LET(_xlpm.na,COUNTIF('Question Set'!$G$29:$G$34,"Not Applicable"),IF(_xlpm.na=0,"-",_xlpm.na))</f>
        <v>-</v>
      </c>
      <c r="F9" s="47" t="str">
        <f>_xlfn.LET(_xlpm.u,COUNTIF('Question Set'!$G$29:$G$34,"Unknown"),IF(_xlpm.u=0,"-",_xlpm.u))</f>
        <v>-</v>
      </c>
      <c r="G9" s="47">
        <f>_xlfn.LET(_xlpm.n,COUNTIF('Question Set'!$G$29:$G$34,"No"),IF(_xlpm.n=0,"-",_xlpm.n))</f>
        <v>2</v>
      </c>
      <c r="H9" s="47" t="str">
        <f>_xlfn.LET(_xlpm.pl,COUNTIF('Question Set'!$G$29:$G$34,"Planned"),IF(_xlpm.pl=0,"-",_xlpm.pl))</f>
        <v>-</v>
      </c>
      <c r="I9" s="47">
        <f>_xlfn.LET(_xlpm.ip,COUNTIF('Question Set'!$G$29:$G$34,"In Progress"),IF(_xlpm.ip=0,"-",_xlpm.ip))</f>
        <v>3</v>
      </c>
      <c r="J9" s="48">
        <f>_xlfn.LET(_xlpm.y,COUNTIF('Question Set'!$G$29:$G$34,"Yes"),IF(_xlpm.y=0,"-",_xlpm.y))</f>
        <v>1</v>
      </c>
      <c r="K9" s="57">
        <f t="shared" si="1"/>
        <v>9</v>
      </c>
      <c r="L9" s="19" t="s">
        <v>592</v>
      </c>
      <c r="M9" s="29">
        <f t="shared" si="2"/>
        <v>18</v>
      </c>
    </row>
    <row r="10" spans="2:13" ht="30" customHeight="1" thickTop="1" thickBot="1" x14ac:dyDescent="0.25">
      <c r="B10" s="107"/>
      <c r="C10" s="31" t="s">
        <v>601</v>
      </c>
      <c r="D10" s="27">
        <v>5</v>
      </c>
      <c r="E10" s="40" t="str">
        <f>_xlfn.LET(_xlpm.na,COUNTIF('Question Set'!$G$37:$G$41,"Not Applicable"),IF(_xlpm.na=0,"-",_xlpm.na))</f>
        <v>-</v>
      </c>
      <c r="F10" s="41" t="str">
        <f>_xlfn.LET(_xlpm.u,COUNTIF('Question Set'!$G$37:$G$41,"Unknown"),IF(_xlpm.u=0,"-",_xlpm.u))</f>
        <v>-</v>
      </c>
      <c r="G10" s="41">
        <f>_xlfn.LET(_xlpm.n,COUNTIF('Question Set'!$G$37:$G$41,"No"),IF(_xlpm.n=0,"-",_xlpm.n))</f>
        <v>2</v>
      </c>
      <c r="H10" s="41" t="str">
        <f>_xlfn.LET(_xlpm.pl,COUNTIF('Question Set'!$G$37:$G$41,"Planned"),IF(_xlpm.pl=0,"-",_xlpm.pl))</f>
        <v>-</v>
      </c>
      <c r="I10" s="41">
        <f>_xlfn.LET(_xlpm.ip,COUNTIF('Question Set'!$G$37:$G$41,"In Progress"),IF(_xlpm.ip=0,"-",_xlpm.ip))</f>
        <v>2</v>
      </c>
      <c r="J10" s="42">
        <f>_xlfn.LET(_xlpm.y,COUNTIF('Question Set'!$G$37:$G$41,"Yes"),IF(_xlpm.y=0,"-",_xlpm.y))</f>
        <v>1</v>
      </c>
      <c r="K10" s="54">
        <f t="shared" si="1"/>
        <v>7</v>
      </c>
      <c r="L10" s="20" t="s">
        <v>592</v>
      </c>
      <c r="M10" s="27">
        <f t="shared" si="2"/>
        <v>15</v>
      </c>
    </row>
    <row r="11" spans="2:13" ht="30" customHeight="1" thickTop="1" thickBot="1" x14ac:dyDescent="0.25">
      <c r="B11" s="107"/>
      <c r="C11" s="31" t="s">
        <v>602</v>
      </c>
      <c r="D11" s="27">
        <v>5</v>
      </c>
      <c r="E11" s="40" t="str">
        <f>_xlfn.LET(_xlpm.na,COUNTIF('Question Set'!$G$44:$G$48,"Not Applicable"),IF(_xlpm.na=0,"-",_xlpm.na))</f>
        <v>-</v>
      </c>
      <c r="F11" s="41" t="str">
        <f>_xlfn.LET(_xlpm.u,COUNTIF('Question Set'!$G$44:$G$48,"Unknown"),IF(_xlpm.u=0,"-",_xlpm.u))</f>
        <v>-</v>
      </c>
      <c r="G11" s="41">
        <f>_xlfn.LET(_xlpm.n,COUNTIF('Question Set'!$G$44:$G$48,"No"),IF(_xlpm.n=0,"-",_xlpm.n))</f>
        <v>1</v>
      </c>
      <c r="H11" s="41" t="str">
        <f>_xlfn.LET(_xlpm.pl,COUNTIF('Question Set'!$G$44:$G$48,"Planned"),IF(_xlpm.pl=0,"-",_xlpm.pl))</f>
        <v>-</v>
      </c>
      <c r="I11" s="41" t="str">
        <f>_xlfn.LET(_xlpm.ip,COUNTIF('Question Set'!$G$44:$G$48,"In Progress"),IF(_xlpm.ip=0,"-",_xlpm.ip))</f>
        <v>-</v>
      </c>
      <c r="J11" s="42">
        <f>_xlfn.LET(_xlpm.y,COUNTIF('Question Set'!$G$44:$G$48,"Yes"),IF(_xlpm.y=0,"-",_xlpm.y))</f>
        <v>4</v>
      </c>
      <c r="K11" s="54">
        <f t="shared" si="1"/>
        <v>12</v>
      </c>
      <c r="L11" s="20" t="s">
        <v>592</v>
      </c>
      <c r="M11" s="27">
        <f t="shared" si="2"/>
        <v>15</v>
      </c>
    </row>
    <row r="12" spans="2:13" ht="30" customHeight="1" thickTop="1" thickBot="1" x14ac:dyDescent="0.25">
      <c r="B12" s="107"/>
      <c r="C12" s="31" t="s">
        <v>603</v>
      </c>
      <c r="D12" s="27">
        <v>4</v>
      </c>
      <c r="E12" s="40" t="str">
        <f>_xlfn.LET(_xlpm.na,COUNTIF('Question Set'!$G$51:$G$54,"Not Applicable"),IF(_xlpm.na=0,"-",_xlpm.na))</f>
        <v>-</v>
      </c>
      <c r="F12" s="41" t="str">
        <f>_xlfn.LET(_xlpm.u,COUNTIF('Question Set'!$G$51:$G$54,"Unknown"),IF(_xlpm.u=0,"-",_xlpm.u))</f>
        <v>-</v>
      </c>
      <c r="G12" s="41">
        <f>_xlfn.LET(_xlpm.n,COUNTIF('Question Set'!$G$51:$G$54,"No"),IF(_xlpm.n=0,"-",_xlpm.n))</f>
        <v>2</v>
      </c>
      <c r="H12" s="41" t="str">
        <f>_xlfn.LET(_xlpm.pl,COUNTIF('Question Set'!$G$51:$G$54,"Planned"),IF(_xlpm.pl=0,"-",_xlpm.pl))</f>
        <v>-</v>
      </c>
      <c r="I12" s="41">
        <f>_xlfn.LET(_xlpm.ip,COUNTIF('Question Set'!$G$51:$G$54,"In Progress"),IF(_xlpm.ip=0,"-",_xlpm.ip))</f>
        <v>2</v>
      </c>
      <c r="J12" s="42" t="str">
        <f>_xlfn.LET(_xlpm.y,COUNTIF('Question Set'!$G$51:$G$54,"Yes"),IF(_xlpm.y=0,"-",_xlpm.y))</f>
        <v>-</v>
      </c>
      <c r="K12" s="54">
        <f t="shared" si="1"/>
        <v>4</v>
      </c>
      <c r="L12" s="20" t="s">
        <v>592</v>
      </c>
      <c r="M12" s="27">
        <f t="shared" si="2"/>
        <v>12</v>
      </c>
    </row>
    <row r="13" spans="2:13" ht="30" customHeight="1" thickTop="1" thickBot="1" x14ac:dyDescent="0.25">
      <c r="B13" s="107"/>
      <c r="C13" s="31" t="s">
        <v>604</v>
      </c>
      <c r="D13" s="27">
        <v>5</v>
      </c>
      <c r="E13" s="40" t="str">
        <f>_xlfn.LET(_xlpm.na,COUNTIF('Question Set'!$G$57:$G$61,"Not Applicable"),IF(_xlpm.na=0,"-",_xlpm.na))</f>
        <v>-</v>
      </c>
      <c r="F13" s="41">
        <f>_xlfn.LET(_xlpm.u,COUNTIF('Question Set'!$G$57:$G$61,"Unknown"),IF(_xlpm.u=0,"-",_xlpm.u))</f>
        <v>1</v>
      </c>
      <c r="G13" s="41">
        <f>_xlfn.LET(_xlpm.n,COUNTIF('Question Set'!$G$57:$G$61,"No"),IF(_xlpm.n=0,"-",_xlpm.n))</f>
        <v>1</v>
      </c>
      <c r="H13" s="41" t="str">
        <f>_xlfn.LET(_xlpm.pl,COUNTIF('Question Set'!$G$57:$G$61,"Planned"),IF(_xlpm.pl=0,"-",_xlpm.pl))</f>
        <v>-</v>
      </c>
      <c r="I13" s="41">
        <f>_xlfn.LET(_xlpm.ip,COUNTIF('Question Set'!$G$57:$G$61,"In Progress"),IF(_xlpm.ip=0,"-",_xlpm.ip))</f>
        <v>2</v>
      </c>
      <c r="J13" s="42">
        <f>_xlfn.LET(_xlpm.y,COUNTIF('Question Set'!$G$57:$G$61,"Yes"),IF(_xlpm.y=0,"-",_xlpm.y))</f>
        <v>1</v>
      </c>
      <c r="K13" s="54">
        <f t="shared" si="1"/>
        <v>7</v>
      </c>
      <c r="L13" s="20" t="s">
        <v>592</v>
      </c>
      <c r="M13" s="27">
        <f t="shared" si="2"/>
        <v>15</v>
      </c>
    </row>
    <row r="14" spans="2:13" ht="30" customHeight="1" thickTop="1" thickBot="1" x14ac:dyDescent="0.25">
      <c r="B14" s="107"/>
      <c r="C14" s="32" t="s">
        <v>605</v>
      </c>
      <c r="D14" s="28">
        <v>5</v>
      </c>
      <c r="E14" s="43" t="str">
        <f>_xlfn.LET(_xlpm.na,COUNTIF('Question Set'!$G$64:$G$68,"Not Applicable"),IF(_xlpm.na=0,"-",_xlpm.na))</f>
        <v>-</v>
      </c>
      <c r="F14" s="44" t="str">
        <f>_xlfn.LET(_xlpm.u,COUNTIF('Question Set'!$G$64:$G$68,"Unknown"),IF(_xlpm.u=0,"-",_xlpm.u))</f>
        <v>-</v>
      </c>
      <c r="G14" s="44">
        <f>_xlfn.LET(_xlpm.n,COUNTIF('Question Set'!$G$64:$G$68,"No"),IF(_xlpm.n=0,"-",_xlpm.n))</f>
        <v>1</v>
      </c>
      <c r="H14" s="44" t="str">
        <f>_xlfn.LET(_xlpm.pl,COUNTIF('Question Set'!$G$64:$G$68,"Planned"),IF(_xlpm.pl=0,"-",_xlpm.pl))</f>
        <v>-</v>
      </c>
      <c r="I14" s="44">
        <f>_xlfn.LET(_xlpm.ip,COUNTIF('Question Set'!$G$64:$G$68,"In Progress"),IF(_xlpm.ip=0,"-",_xlpm.ip))</f>
        <v>4</v>
      </c>
      <c r="J14" s="45" t="str">
        <f>_xlfn.LET(_xlpm.y,COUNTIF('Question Set'!$G$64:$G$68,"Yes"),IF(_xlpm.y=0,"-",_xlpm.y))</f>
        <v>-</v>
      </c>
      <c r="K14" s="55">
        <f t="shared" si="1"/>
        <v>8</v>
      </c>
      <c r="L14" s="56" t="s">
        <v>592</v>
      </c>
      <c r="M14" s="28">
        <f t="shared" si="2"/>
        <v>15</v>
      </c>
    </row>
    <row r="15" spans="2:13" ht="30" customHeight="1" thickTop="1" thickBot="1" x14ac:dyDescent="0.25">
      <c r="B15" s="108"/>
      <c r="C15" s="33" t="s">
        <v>598</v>
      </c>
      <c r="D15" s="60">
        <f>SUM(D9:D14)</f>
        <v>30</v>
      </c>
      <c r="E15" s="61" t="str">
        <f t="shared" ref="E15:J15" si="4">_xlfn.LET(_xlpm.x,(SUM(E9:E14)),IF(_xlpm.x=0,"-",_xlpm.x))</f>
        <v>-</v>
      </c>
      <c r="F15" s="62">
        <f t="shared" si="4"/>
        <v>1</v>
      </c>
      <c r="G15" s="62">
        <f t="shared" si="4"/>
        <v>9</v>
      </c>
      <c r="H15" s="62" t="str">
        <f t="shared" si="4"/>
        <v>-</v>
      </c>
      <c r="I15" s="62">
        <f t="shared" si="4"/>
        <v>13</v>
      </c>
      <c r="J15" s="63">
        <f t="shared" si="4"/>
        <v>7</v>
      </c>
      <c r="K15" s="64">
        <f t="shared" si="1"/>
        <v>47</v>
      </c>
      <c r="L15" s="65" t="s">
        <v>592</v>
      </c>
      <c r="M15" s="60">
        <f t="shared" si="2"/>
        <v>90</v>
      </c>
    </row>
    <row r="16" spans="2:13" ht="30" customHeight="1" thickTop="1" thickBot="1" x14ac:dyDescent="0.25">
      <c r="B16" s="106" t="s">
        <v>606</v>
      </c>
      <c r="C16" s="34" t="s">
        <v>607</v>
      </c>
      <c r="D16" s="29">
        <v>3</v>
      </c>
      <c r="E16" s="46" t="str">
        <f>_xlfn.LET(_xlpm.na,COUNTIF('Question Set'!$G$72:$G$74,"Not Applicable"),IF(_xlpm.na=0,"-",_xlpm.na))</f>
        <v>-</v>
      </c>
      <c r="F16" s="47" t="str">
        <f>_xlfn.LET(_xlpm.u,COUNTIF('Question Set'!$G$72:$G$74,"Unknown"),IF(_xlpm.u=0,"-",_xlpm.u))</f>
        <v>-</v>
      </c>
      <c r="G16" s="47">
        <f>_xlfn.LET(_xlpm.n,COUNTIF('Question Set'!$G$72:$G$74,"No"),IF(_xlpm.n=0,"-",_xlpm.n))</f>
        <v>2</v>
      </c>
      <c r="H16" s="47" t="str">
        <f>_xlfn.LET(_xlpm.pl,COUNTIF('Question Set'!$G$72:$G$74,"Planned"),IF(_xlpm.pl=0,"-",_xlpm.pl))</f>
        <v>-</v>
      </c>
      <c r="I16" s="47" t="str">
        <f>_xlfn.LET(_xlpm.ip,COUNTIF('Question Set'!$G$72:$G$74,"In Progress"),IF(_xlpm.ip=0,"-",_xlpm.ip))</f>
        <v>-</v>
      </c>
      <c r="J16" s="48">
        <f>_xlfn.LET(_xlpm.y,COUNTIF('Question Set'!$G$72:$G$74,"Yes"),IF(_xlpm.y=0,"-",_xlpm.y))</f>
        <v>1</v>
      </c>
      <c r="K16" s="57">
        <f t="shared" si="1"/>
        <v>3</v>
      </c>
      <c r="L16" s="19" t="s">
        <v>592</v>
      </c>
      <c r="M16" s="29">
        <f t="shared" si="2"/>
        <v>9</v>
      </c>
    </row>
    <row r="17" spans="2:13" ht="30" customHeight="1" thickTop="1" thickBot="1" x14ac:dyDescent="0.25">
      <c r="B17" s="107"/>
      <c r="C17" s="31" t="s">
        <v>608</v>
      </c>
      <c r="D17" s="27">
        <v>6</v>
      </c>
      <c r="E17" s="40" t="str">
        <f>_xlfn.LET(_xlpm.na,COUNTIF('Question Set'!$G$77:$G$82,"Not Applicable"),IF(_xlpm.na=0,"-",_xlpm.na))</f>
        <v>-</v>
      </c>
      <c r="F17" s="41" t="str">
        <f>_xlfn.LET(_xlpm.u,COUNTIF('Question Set'!$G$77:$G$82,"Unknown"),IF(_xlpm.u=0,"-",_xlpm.u))</f>
        <v>-</v>
      </c>
      <c r="G17" s="41">
        <f>_xlfn.LET(_xlpm.n,COUNTIF('Question Set'!$G$77:$G$82,"No"),IF(_xlpm.n=0,"-",_xlpm.n))</f>
        <v>1</v>
      </c>
      <c r="H17" s="41">
        <f>_xlfn.LET(_xlpm.pl,COUNTIF('Question Set'!$G$77:$G$82,"Planned"),IF(_xlpm.pl=0,"-",_xlpm.pl))</f>
        <v>2</v>
      </c>
      <c r="I17" s="41">
        <f>_xlfn.LET(_xlpm.ip,COUNTIF('Question Set'!$G$77:$G$82,"In Progress"),IF(_xlpm.ip=0,"-",_xlpm.ip))</f>
        <v>3</v>
      </c>
      <c r="J17" s="42" t="str">
        <f>_xlfn.LET(_xlpm.y,COUNTIF('Question Set'!$G$77:$G$82,"Yes"),IF(_xlpm.y=0,"-",_xlpm.y))</f>
        <v>-</v>
      </c>
      <c r="K17" s="54">
        <f t="shared" si="1"/>
        <v>8</v>
      </c>
      <c r="L17" s="20" t="s">
        <v>592</v>
      </c>
      <c r="M17" s="27">
        <f t="shared" si="2"/>
        <v>18</v>
      </c>
    </row>
    <row r="18" spans="2:13" ht="30" customHeight="1" thickTop="1" thickBot="1" x14ac:dyDescent="0.25">
      <c r="B18" s="107"/>
      <c r="C18" s="32" t="s">
        <v>609</v>
      </c>
      <c r="D18" s="28">
        <v>3</v>
      </c>
      <c r="E18" s="43" t="str">
        <f>_xlfn.LET(_xlpm.na,COUNTIF('Question Set'!$G$85:$G$87,"Not Applicable"),IF(_xlpm.na=0,"-",_xlpm.na))</f>
        <v>-</v>
      </c>
      <c r="F18" s="44" t="str">
        <f>_xlfn.LET(_xlpm.u,COUNTIF('Question Set'!$G$85:$G$87,"Unknown"),IF(_xlpm.u=0,"-",_xlpm.u))</f>
        <v>-</v>
      </c>
      <c r="G18" s="44" t="str">
        <f>_xlfn.LET(_xlpm.n,COUNTIF('Question Set'!$G$85:$G$87,"No"),IF(_xlpm.n=0,"-",_xlpm.n))</f>
        <v>-</v>
      </c>
      <c r="H18" s="44" t="str">
        <f>_xlfn.LET(_xlpm.pl,COUNTIF('Question Set'!$G$85:$G$87,"Planned"),IF(_xlpm.pl=0,"-",_xlpm.pl))</f>
        <v>-</v>
      </c>
      <c r="I18" s="44">
        <f>_xlfn.LET(_xlpm.ip,COUNTIF('Question Set'!$G$85:$G$87,"In Progress"),IF(_xlpm.ip=0,"-",_xlpm.ip))</f>
        <v>2</v>
      </c>
      <c r="J18" s="45">
        <f>_xlfn.LET(_xlpm.y,COUNTIF('Question Set'!$G$85:$G$87,"Yes"),IF(_xlpm.y=0,"-",_xlpm.y))</f>
        <v>1</v>
      </c>
      <c r="K18" s="55">
        <f t="shared" si="1"/>
        <v>7</v>
      </c>
      <c r="L18" s="56" t="s">
        <v>592</v>
      </c>
      <c r="M18" s="28">
        <f t="shared" si="2"/>
        <v>9</v>
      </c>
    </row>
    <row r="19" spans="2:13" ht="30" customHeight="1" thickTop="1" thickBot="1" x14ac:dyDescent="0.25">
      <c r="B19" s="108"/>
      <c r="C19" s="33" t="s">
        <v>598</v>
      </c>
      <c r="D19" s="60">
        <f>SUM(D16:D18)</f>
        <v>12</v>
      </c>
      <c r="E19" s="61" t="str">
        <f t="shared" ref="E19:J19" si="5">_xlfn.LET(_xlpm.x,(SUM(E16:E18)),IF(_xlpm.x=0,"-",_xlpm.x))</f>
        <v>-</v>
      </c>
      <c r="F19" s="62" t="str">
        <f t="shared" si="5"/>
        <v>-</v>
      </c>
      <c r="G19" s="62">
        <f t="shared" si="5"/>
        <v>3</v>
      </c>
      <c r="H19" s="62">
        <f t="shared" si="5"/>
        <v>2</v>
      </c>
      <c r="I19" s="62">
        <f t="shared" si="5"/>
        <v>5</v>
      </c>
      <c r="J19" s="66">
        <f t="shared" si="5"/>
        <v>2</v>
      </c>
      <c r="K19" s="64">
        <f t="shared" si="1"/>
        <v>18</v>
      </c>
      <c r="L19" s="65" t="s">
        <v>592</v>
      </c>
      <c r="M19" s="60">
        <f t="shared" si="2"/>
        <v>36</v>
      </c>
    </row>
    <row r="20" spans="2:13" ht="30" customHeight="1" thickTop="1" thickBot="1" x14ac:dyDescent="0.25">
      <c r="B20" s="106" t="s">
        <v>610</v>
      </c>
      <c r="C20" s="34" t="s">
        <v>611</v>
      </c>
      <c r="D20" s="29">
        <v>5</v>
      </c>
      <c r="E20" s="46" t="str">
        <f>_xlfn.LET(_xlpm.na,COUNTIF('Question Set'!$G$91:$G$95,"Not Applicable"),IF(_xlpm.na=0,"-",_xlpm.na))</f>
        <v>-</v>
      </c>
      <c r="F20" s="47" t="str">
        <f>_xlfn.LET(_xlpm.u,COUNTIF('Question Set'!$G$91:$G$95,"Unknown"),IF(_xlpm.u=0,"-",_xlpm.u))</f>
        <v>-</v>
      </c>
      <c r="G20" s="47" t="str">
        <f>_xlfn.LET(_xlpm.n,COUNTIF('Question Set'!$G$91:$G$95,"No"),IF(_xlpm.n=0,"-",_xlpm.n))</f>
        <v>-</v>
      </c>
      <c r="H20" s="47" t="str">
        <f>_xlfn.LET(_xlpm.pl,COUNTIF('Question Set'!$G$91:$G$95,"Planned"),IF(_xlpm.pl=0,"-",_xlpm.pl))</f>
        <v>-</v>
      </c>
      <c r="I20" s="47">
        <f>_xlfn.LET(_xlpm.ip,COUNTIF('Question Set'!$G$91:$G$95,"In Progress"),IF(_xlpm.ip=0,"-",_xlpm.ip))</f>
        <v>4</v>
      </c>
      <c r="J20" s="48">
        <f>_xlfn.LET(_xlpm.y,COUNTIF('Question Set'!$G$91:$G$95,"Yes"),IF(_xlpm.y=0,"-",_xlpm.y))</f>
        <v>1</v>
      </c>
      <c r="K20" s="57">
        <f t="shared" si="1"/>
        <v>11</v>
      </c>
      <c r="L20" s="19" t="s">
        <v>592</v>
      </c>
      <c r="M20" s="29">
        <f t="shared" si="2"/>
        <v>15</v>
      </c>
    </row>
    <row r="21" spans="2:13" ht="30" customHeight="1" thickTop="1" thickBot="1" x14ac:dyDescent="0.25">
      <c r="B21" s="107"/>
      <c r="C21" s="31" t="s">
        <v>612</v>
      </c>
      <c r="D21" s="27">
        <v>5</v>
      </c>
      <c r="E21" s="40" t="str">
        <f>_xlfn.LET(_xlpm.na,COUNTIF('Question Set'!$G$98:$G$102,"Not Applicable"),IF(_xlpm.na=0,"-",_xlpm.na))</f>
        <v>-</v>
      </c>
      <c r="F21" s="41" t="str">
        <f>_xlfn.LET(_xlpm.u,COUNTIF('Question Set'!$G$98:$G$102,"Unknown"),IF(_xlpm.u=0,"-",_xlpm.u))</f>
        <v>-</v>
      </c>
      <c r="G21" s="41">
        <f>_xlfn.LET(_xlpm.n,COUNTIF('Question Set'!$G$98:$G$102,"No"),IF(_xlpm.n=0,"-",_xlpm.n))</f>
        <v>1</v>
      </c>
      <c r="H21" s="41">
        <f>_xlfn.LET(_xlpm.pl,COUNTIF('Question Set'!$G$98:$G$102,"Planned"),IF(_xlpm.pl=0,"-",_xlpm.pl))</f>
        <v>2</v>
      </c>
      <c r="I21" s="41">
        <f>_xlfn.LET(_xlpm.ip,COUNTIF('Question Set'!$G$98:$G$102,"In Progress"),IF(_xlpm.ip=0,"-",_xlpm.ip))</f>
        <v>2</v>
      </c>
      <c r="J21" s="42" t="str">
        <f>_xlfn.LET(_xlpm.y,COUNTIF('Question Set'!$G$98:$G$102,"Yes"),IF(_xlpm.y=0,"-",_xlpm.y))</f>
        <v>-</v>
      </c>
      <c r="K21" s="54">
        <f t="shared" si="1"/>
        <v>6</v>
      </c>
      <c r="L21" s="20" t="s">
        <v>592</v>
      </c>
      <c r="M21" s="27">
        <f t="shared" si="2"/>
        <v>15</v>
      </c>
    </row>
    <row r="22" spans="2:13" ht="30" customHeight="1" thickTop="1" thickBot="1" x14ac:dyDescent="0.25">
      <c r="B22" s="107"/>
      <c r="C22" s="31" t="s">
        <v>613</v>
      </c>
      <c r="D22" s="27">
        <v>6</v>
      </c>
      <c r="E22" s="40" t="str">
        <f>_xlfn.LET(_xlpm.na,COUNTIF('Question Set'!$G$105:$G$110,"Not Applicable"),IF(_xlpm.na=0,"-",_xlpm.na))</f>
        <v>-</v>
      </c>
      <c r="F22" s="41">
        <f>_xlfn.LET(_xlpm.u,COUNTIF('Question Set'!$G$105:$G$110,"Unknown"),IF(_xlpm.u=0,"-",_xlpm.u))</f>
        <v>1</v>
      </c>
      <c r="G22" s="41">
        <f>_xlfn.LET(_xlpm.n,COUNTIF('Question Set'!$G$105:$G$110,"No"),IF(_xlpm.n=0,"-",_xlpm.n))</f>
        <v>4</v>
      </c>
      <c r="H22" s="41" t="str">
        <f>_xlfn.LET(_xlpm.pl,COUNTIF('Question Set'!$G$105:$G$110,"Planned"),IF(_xlpm.pl=0,"-",_xlpm.pl))</f>
        <v>-</v>
      </c>
      <c r="I22" s="41">
        <f>_xlfn.LET(_xlpm.ip,COUNTIF('Question Set'!$G$105:$G$110,"In Progress"),IF(_xlpm.ip=0,"-",_xlpm.ip))</f>
        <v>1</v>
      </c>
      <c r="J22" s="42" t="str">
        <f>_xlfn.LET(_xlpm.y,COUNTIF('Question Set'!$G$105:$G$110,"Yes"),IF(_xlpm.y=0,"-",_xlpm.y))</f>
        <v>-</v>
      </c>
      <c r="K22" s="54">
        <f t="shared" si="1"/>
        <v>2</v>
      </c>
      <c r="L22" s="20" t="s">
        <v>592</v>
      </c>
      <c r="M22" s="27">
        <f t="shared" si="2"/>
        <v>18</v>
      </c>
    </row>
    <row r="23" spans="2:13" ht="30" customHeight="1" thickTop="1" thickBot="1" x14ac:dyDescent="0.25">
      <c r="B23" s="107"/>
      <c r="C23" s="31" t="s">
        <v>614</v>
      </c>
      <c r="D23" s="27">
        <v>4</v>
      </c>
      <c r="E23" s="40">
        <f>_xlfn.LET(_xlpm.na,COUNTIF('Question Set'!$G$113:$G$116,"Not Applicable"),IF(_xlpm.na=0,"-",_xlpm.na))</f>
        <v>1</v>
      </c>
      <c r="F23" s="41" t="str">
        <f>_xlfn.LET(_xlpm.u,COUNTIF('Question Set'!$G$113:$G$116,"Unknown"),IF(_xlpm.u=0,"-",_xlpm.u))</f>
        <v>-</v>
      </c>
      <c r="G23" s="41" t="str">
        <f>_xlfn.LET(_xlpm.n,COUNTIF('Question Set'!$G$113:$G$116,"No"),IF(_xlpm.n=0,"-",_xlpm.n))</f>
        <v>-</v>
      </c>
      <c r="H23" s="41" t="str">
        <f>_xlfn.LET(_xlpm.pl,COUNTIF('Question Set'!$G$113:$G$116,"Planned"),IF(_xlpm.pl=0,"-",_xlpm.pl))</f>
        <v>-</v>
      </c>
      <c r="I23" s="41" t="str">
        <f>_xlfn.LET(_xlpm.ip,COUNTIF('Question Set'!$G$113:$G$116,"In Progress"),IF(_xlpm.ip=0,"-",_xlpm.ip))</f>
        <v>-</v>
      </c>
      <c r="J23" s="42">
        <f>_xlfn.LET(_xlpm.y,COUNTIF('Question Set'!$G$113:$G$116,"Yes"),IF(_xlpm.y=0,"-",_xlpm.y))</f>
        <v>3</v>
      </c>
      <c r="K23" s="54">
        <f t="shared" si="1"/>
        <v>9</v>
      </c>
      <c r="L23" s="20" t="s">
        <v>592</v>
      </c>
      <c r="M23" s="27">
        <f t="shared" si="2"/>
        <v>9</v>
      </c>
    </row>
    <row r="24" spans="2:13" ht="30" customHeight="1" thickTop="1" thickBot="1" x14ac:dyDescent="0.25">
      <c r="B24" s="107"/>
      <c r="C24" s="31" t="s">
        <v>615</v>
      </c>
      <c r="D24" s="27">
        <v>5</v>
      </c>
      <c r="E24" s="40">
        <f>_xlfn.LET(_xlpm.na,COUNTIF('Question Set'!$G$119:$G$123,"Not Applicable"),IF(_xlpm.na=0,"-",_xlpm.na))</f>
        <v>1</v>
      </c>
      <c r="F24" s="41">
        <f>_xlfn.LET(_xlpm.u,COUNTIF('Question Set'!$G$119:$G$123,"Unknown"),IF(_xlpm.u=0,"-",_xlpm.u))</f>
        <v>1</v>
      </c>
      <c r="G24" s="41">
        <f>_xlfn.LET(_xlpm.n,COUNTIF('Question Set'!$G$119:$G$123,"No"),IF(_xlpm.n=0,"-",_xlpm.n))</f>
        <v>1</v>
      </c>
      <c r="H24" s="41">
        <f>_xlfn.LET(_xlpm.pl,COUNTIF('Question Set'!$G$119:$G$123,"Planned"),IF(_xlpm.pl=0,"-",_xlpm.pl))</f>
        <v>1</v>
      </c>
      <c r="I24" s="41">
        <f>_xlfn.LET(_xlpm.ip,COUNTIF('Question Set'!$G$119:$G$123,"In Progress"),IF(_xlpm.ip=0,"-",_xlpm.ip))</f>
        <v>1</v>
      </c>
      <c r="J24" s="42" t="str">
        <f>_xlfn.LET(_xlpm.y,COUNTIF('Question Set'!$G$119:$G$123,"Yes"),IF(_xlpm.y=0,"-",_xlpm.y))</f>
        <v>-</v>
      </c>
      <c r="K24" s="54">
        <f t="shared" si="1"/>
        <v>3</v>
      </c>
      <c r="L24" s="20" t="s">
        <v>592</v>
      </c>
      <c r="M24" s="27">
        <f t="shared" si="2"/>
        <v>12</v>
      </c>
    </row>
    <row r="25" spans="2:13" ht="30" customHeight="1" thickTop="1" thickBot="1" x14ac:dyDescent="0.25">
      <c r="B25" s="107"/>
      <c r="C25" s="32" t="s">
        <v>616</v>
      </c>
      <c r="D25" s="28">
        <v>4</v>
      </c>
      <c r="E25" s="43" t="str">
        <f>_xlfn.LET(_xlpm.na,COUNTIF('Question Set'!$G$126:$G$129,"Not Applicable"),IF(_xlpm.na=0,"-",_xlpm.na))</f>
        <v>-</v>
      </c>
      <c r="F25" s="44">
        <f>_xlfn.LET(_xlpm.u,COUNTIF('Question Set'!$G$126:$G$129,"Unknown"),IF(_xlpm.u=0,"-",_xlpm.u))</f>
        <v>1</v>
      </c>
      <c r="G25" s="44">
        <f>_xlfn.LET(_xlpm.n,COUNTIF('Question Set'!$G$126:$G$129,"No"),IF(_xlpm.n=0,"-",_xlpm.n))</f>
        <v>2</v>
      </c>
      <c r="H25" s="44" t="str">
        <f>_xlfn.LET(_xlpm.pl,COUNTIF('Question Set'!$G$126:$G$129,"Planned"),IF(_xlpm.pl=0,"-",_xlpm.pl))</f>
        <v>-</v>
      </c>
      <c r="I25" s="44">
        <f>_xlfn.LET(_xlpm.ip,COUNTIF('Question Set'!$G$126:$G$129,"In Progress"),IF(_xlpm.ip=0,"-",_xlpm.ip))</f>
        <v>1</v>
      </c>
      <c r="J25" s="45" t="str">
        <f>_xlfn.LET(_xlpm.y,COUNTIF('Question Set'!$G$126:$G$129,"Yes"),IF(_xlpm.y=0,"-",_xlpm.y))</f>
        <v>-</v>
      </c>
      <c r="K25" s="55">
        <f t="shared" si="1"/>
        <v>2</v>
      </c>
      <c r="L25" s="56" t="s">
        <v>592</v>
      </c>
      <c r="M25" s="28">
        <f t="shared" si="2"/>
        <v>12</v>
      </c>
    </row>
    <row r="26" spans="2:13" ht="30" customHeight="1" thickTop="1" thickBot="1" x14ac:dyDescent="0.25">
      <c r="B26" s="108"/>
      <c r="C26" s="33" t="s">
        <v>598</v>
      </c>
      <c r="D26" s="60">
        <f>SUM(D20:D25)</f>
        <v>29</v>
      </c>
      <c r="E26" s="61">
        <f t="shared" ref="E26:J26" si="6">_xlfn.LET(_xlpm.x,SUM(E20:E25),IF(_xlpm.x=0,"-",_xlpm.x))</f>
        <v>2</v>
      </c>
      <c r="F26" s="62">
        <f t="shared" si="6"/>
        <v>3</v>
      </c>
      <c r="G26" s="62">
        <f t="shared" si="6"/>
        <v>8</v>
      </c>
      <c r="H26" s="62">
        <f t="shared" si="6"/>
        <v>3</v>
      </c>
      <c r="I26" s="62">
        <f t="shared" si="6"/>
        <v>9</v>
      </c>
      <c r="J26" s="66">
        <f t="shared" si="6"/>
        <v>4</v>
      </c>
      <c r="K26" s="64">
        <f t="shared" si="1"/>
        <v>33</v>
      </c>
      <c r="L26" s="65" t="s">
        <v>592</v>
      </c>
      <c r="M26" s="60">
        <f t="shared" si="2"/>
        <v>81</v>
      </c>
    </row>
    <row r="27" spans="2:13" ht="30" customHeight="1" thickTop="1" thickBot="1" x14ac:dyDescent="0.25">
      <c r="B27" s="106" t="s">
        <v>617</v>
      </c>
      <c r="C27" s="34" t="s">
        <v>618</v>
      </c>
      <c r="D27" s="29">
        <v>5</v>
      </c>
      <c r="E27" s="46" t="str">
        <f>_xlfn.LET(_xlpm.na,COUNTIF('Question Set'!$G$133:$G$137,"Not Applicable"),IF(_xlpm.na=0,"-",_xlpm.na))</f>
        <v>-</v>
      </c>
      <c r="F27" s="47" t="str">
        <f>_xlfn.LET(_xlpm.u,COUNTIF('Question Set'!$G$133:$G$137,"Unknown"),IF(_xlpm.u=0,"-",_xlpm.u))</f>
        <v>-</v>
      </c>
      <c r="G27" s="47">
        <f>_xlfn.LET(_xlpm.n,COUNTIF('Question Set'!$G$133:$G$137,"No"),IF(_xlpm.n=0,"-",_xlpm.n))</f>
        <v>2</v>
      </c>
      <c r="H27" s="47">
        <f>_xlfn.LET(_xlpm.pl,COUNTIF('Question Set'!$G$133:$G$137,"Planned"),IF(_xlpm.pl=0,"-",_xlpm.pl))</f>
        <v>1</v>
      </c>
      <c r="I27" s="47">
        <f>_xlfn.LET(_xlpm.ip,COUNTIF('Question Set'!$G$133:$G$137,"In Progress"),IF(_xlpm.ip=0,"-",_xlpm.ip))</f>
        <v>1</v>
      </c>
      <c r="J27" s="48">
        <f>_xlfn.LET(_xlpm.y,COUNTIF('Question Set'!$G$133:$G$137,"Yes"),IF(_xlpm.y=0,"-",_xlpm.y))</f>
        <v>1</v>
      </c>
      <c r="K27" s="57">
        <f t="shared" si="1"/>
        <v>6</v>
      </c>
      <c r="L27" s="19" t="s">
        <v>592</v>
      </c>
      <c r="M27" s="29">
        <f t="shared" si="2"/>
        <v>15</v>
      </c>
    </row>
    <row r="28" spans="2:13" ht="30" customHeight="1" thickTop="1" thickBot="1" x14ac:dyDescent="0.25">
      <c r="B28" s="107"/>
      <c r="C28" s="31" t="s">
        <v>619</v>
      </c>
      <c r="D28" s="27">
        <v>5</v>
      </c>
      <c r="E28" s="40">
        <f>_xlfn.LET(_xlpm.na,COUNTIF('Question Set'!$G$140:$G$144,"Not Applicable"),IF(_xlpm.na=0,"-",_xlpm.na))</f>
        <v>1</v>
      </c>
      <c r="F28" s="41" t="str">
        <f>_xlfn.LET(_xlpm.u,COUNTIF('Question Set'!$G$140:$G$144,"Unknown"),IF(_xlpm.u=0,"-",_xlpm.u))</f>
        <v>-</v>
      </c>
      <c r="G28" s="41">
        <f>_xlfn.LET(_xlpm.n,COUNTIF('Question Set'!$G$140:$G$144,"No"),IF(_xlpm.n=0,"-",_xlpm.n))</f>
        <v>2</v>
      </c>
      <c r="H28" s="41" t="str">
        <f>_xlfn.LET(_xlpm.pl,COUNTIF('Question Set'!$G$140:$G$144,"Planned"),IF(_xlpm.pl=0,"-",_xlpm.pl))</f>
        <v>-</v>
      </c>
      <c r="I28" s="41" t="str">
        <f>_xlfn.LET(_xlpm.ip,COUNTIF('Question Set'!$G$140:$G$144,"In Progress"),IF(_xlpm.ip=0,"-",_xlpm.ip))</f>
        <v>-</v>
      </c>
      <c r="J28" s="42">
        <f>_xlfn.LET(_xlpm.y,COUNTIF('Question Set'!$G$140:$G$144,"Yes"),IF(_xlpm.y=0,"-",_xlpm.y))</f>
        <v>2</v>
      </c>
      <c r="K28" s="54">
        <f t="shared" si="1"/>
        <v>6</v>
      </c>
      <c r="L28" s="20" t="s">
        <v>592</v>
      </c>
      <c r="M28" s="27">
        <f t="shared" si="2"/>
        <v>12</v>
      </c>
    </row>
    <row r="29" spans="2:13" ht="30" customHeight="1" thickTop="1" thickBot="1" x14ac:dyDescent="0.25">
      <c r="B29" s="107"/>
      <c r="C29" s="31" t="s">
        <v>620</v>
      </c>
      <c r="D29" s="27">
        <v>5</v>
      </c>
      <c r="E29" s="40">
        <f>_xlfn.LET(_xlpm.na,COUNTIF('Question Set'!$G$147:$G$151,"Not Applicable"),IF(_xlpm.na=0,"-",_xlpm.na))</f>
        <v>2</v>
      </c>
      <c r="F29" s="41" t="str">
        <f>_xlfn.LET(_xlpm.u,COUNTIF('Question Set'!$G$147:$G$151,"Unknown"),IF(_xlpm.u=0,"-",_xlpm.u))</f>
        <v>-</v>
      </c>
      <c r="G29" s="41">
        <f>_xlfn.LET(_xlpm.n,COUNTIF('Question Set'!$G$147:$G$151,"No"),IF(_xlpm.n=0,"-",_xlpm.n))</f>
        <v>2</v>
      </c>
      <c r="H29" s="41" t="str">
        <f>_xlfn.LET(_xlpm.pl,COUNTIF('Question Set'!$G$147:$G$151,"Planned"),IF(_xlpm.pl=0,"-",_xlpm.pl))</f>
        <v>-</v>
      </c>
      <c r="I29" s="41" t="str">
        <f>_xlfn.LET(_xlpm.ip,COUNTIF('Question Set'!$G$147:$G$151,"In Progress"),IF(_xlpm.ip=0,"-",_xlpm.ip))</f>
        <v>-</v>
      </c>
      <c r="J29" s="42">
        <f>_xlfn.LET(_xlpm.y,COUNTIF('Question Set'!$G$147:$G$151,"Yes"),IF(_xlpm.y=0,"-",_xlpm.y))</f>
        <v>1</v>
      </c>
      <c r="K29" s="54">
        <f t="shared" si="1"/>
        <v>3</v>
      </c>
      <c r="L29" s="20" t="s">
        <v>592</v>
      </c>
      <c r="M29" s="27">
        <f t="shared" si="2"/>
        <v>9</v>
      </c>
    </row>
    <row r="30" spans="2:13" ht="30" customHeight="1" thickTop="1" thickBot="1" x14ac:dyDescent="0.25">
      <c r="B30" s="107"/>
      <c r="C30" s="32" t="s">
        <v>621</v>
      </c>
      <c r="D30" s="28">
        <v>4</v>
      </c>
      <c r="E30" s="43" t="str">
        <f>_xlfn.LET(_xlpm.na,COUNTIF('Question Set'!$G$154:$G$157,"Not Applicable"),IF(_xlpm.na=0,"-",_xlpm.na))</f>
        <v>-</v>
      </c>
      <c r="F30" s="44" t="str">
        <f>_xlfn.LET(_xlpm.u,COUNTIF('Question Set'!$G$154:$G$157,"Unknown"),IF(_xlpm.u=0,"-",_xlpm.u))</f>
        <v>-</v>
      </c>
      <c r="G30" s="44">
        <f>_xlfn.LET(_xlpm.n,COUNTIF('Question Set'!$G$154:$G$157,"No"),IF(_xlpm.n=0,"-",_xlpm.n))</f>
        <v>2</v>
      </c>
      <c r="H30" s="44" t="str">
        <f>_xlfn.LET(_xlpm.pl,COUNTIF('Question Set'!$G$154:$G$157,"Planned"),IF(_xlpm.pl=0,"-",_xlpm.pl))</f>
        <v>-</v>
      </c>
      <c r="I30" s="44" t="str">
        <f>_xlfn.LET(_xlpm.ip,COUNTIF('Question Set'!$G$154:$G$157,"In Progress"),IF(_xlpm.ip=0,"-",_xlpm.ip))</f>
        <v>-</v>
      </c>
      <c r="J30" s="45">
        <f>_xlfn.LET(_xlpm.y,COUNTIF('Question Set'!$G$154:$G$157,"Yes"),IF(_xlpm.y=0,"-",_xlpm.y))</f>
        <v>2</v>
      </c>
      <c r="K30" s="55">
        <f t="shared" si="1"/>
        <v>6</v>
      </c>
      <c r="L30" s="56" t="s">
        <v>592</v>
      </c>
      <c r="M30" s="28">
        <f t="shared" si="2"/>
        <v>12</v>
      </c>
    </row>
    <row r="31" spans="2:13" ht="30" customHeight="1" thickTop="1" thickBot="1" x14ac:dyDescent="0.25">
      <c r="B31" s="108"/>
      <c r="C31" s="33" t="s">
        <v>598</v>
      </c>
      <c r="D31" s="60">
        <f>SUM(D27:D30)</f>
        <v>19</v>
      </c>
      <c r="E31" s="61">
        <f t="shared" ref="E31:J31" si="7">_xlfn.LET(_xlpm.x,SUM(E27:E30),IF(_xlpm.x=0,"-",_xlpm.x))</f>
        <v>3</v>
      </c>
      <c r="F31" s="62" t="str">
        <f t="shared" si="7"/>
        <v>-</v>
      </c>
      <c r="G31" s="62">
        <f t="shared" si="7"/>
        <v>8</v>
      </c>
      <c r="H31" s="62">
        <f t="shared" si="7"/>
        <v>1</v>
      </c>
      <c r="I31" s="62">
        <f t="shared" si="7"/>
        <v>1</v>
      </c>
      <c r="J31" s="66">
        <f t="shared" si="7"/>
        <v>6</v>
      </c>
      <c r="K31" s="64">
        <f t="shared" si="1"/>
        <v>21</v>
      </c>
      <c r="L31" s="65" t="s">
        <v>592</v>
      </c>
      <c r="M31" s="60">
        <f t="shared" si="2"/>
        <v>48</v>
      </c>
    </row>
    <row r="32" spans="2:13" ht="30" customHeight="1" thickTop="1" thickBot="1" x14ac:dyDescent="0.25">
      <c r="B32" s="106" t="s">
        <v>622</v>
      </c>
      <c r="C32" s="34" t="s">
        <v>623</v>
      </c>
      <c r="D32" s="29">
        <v>3</v>
      </c>
      <c r="E32" s="46" t="str">
        <f>_xlfn.LET(_xlpm.na,COUNTIF('Question Set'!$G$161:$G$163,"Not Applicable"),IF(_xlpm.na=0,"-",_xlpm.na))</f>
        <v>-</v>
      </c>
      <c r="F32" s="47">
        <f>_xlfn.LET(_xlpm.u,COUNTIF('Question Set'!$G$161:$G$163,"Unknown"),IF(_xlpm.u=0,"-",_xlpm.u))</f>
        <v>1</v>
      </c>
      <c r="G32" s="47">
        <f>_xlfn.LET(_xlpm.n,COUNTIF('Question Set'!$G$161:$G$163,"No"),IF(_xlpm.n=0,"-",_xlpm.n))</f>
        <v>2</v>
      </c>
      <c r="H32" s="47" t="str">
        <f>_xlfn.LET(_xlpm.pl,COUNTIF('Question Set'!$G$161:$G$163,"Planned"),IF(_xlpm.pl=0,"-",_xlpm.pl))</f>
        <v>-</v>
      </c>
      <c r="I32" s="47" t="str">
        <f>_xlfn.LET(_xlpm.ip,COUNTIF('Question Set'!$G$161:$G$163,"In Progress"),IF(_xlpm.ip=0,"-",_xlpm.ip))</f>
        <v>-</v>
      </c>
      <c r="J32" s="48" t="str">
        <f>_xlfn.LET(_xlpm.y,COUNTIF('Question Set'!$G$161:$G$163,"Yes"),IF(_xlpm.y=0,"-",_xlpm.y))</f>
        <v>-</v>
      </c>
      <c r="K32" s="57">
        <f t="shared" si="1"/>
        <v>0</v>
      </c>
      <c r="L32" s="19" t="s">
        <v>592</v>
      </c>
      <c r="M32" s="29">
        <f t="shared" si="2"/>
        <v>9</v>
      </c>
    </row>
    <row r="33" spans="2:13" ht="30" customHeight="1" thickTop="1" thickBot="1" x14ac:dyDescent="0.25">
      <c r="B33" s="107"/>
      <c r="C33" s="31" t="s">
        <v>624</v>
      </c>
      <c r="D33" s="27">
        <v>3</v>
      </c>
      <c r="E33" s="40" t="str">
        <f>_xlfn.LET(_xlpm.na,COUNTIF('Question Set'!$G$166:$G$168,"Not Applicable"),IF(_xlpm.na=0,"-",_xlpm.na))</f>
        <v>-</v>
      </c>
      <c r="F33" s="41" t="str">
        <f>_xlfn.LET(_xlpm.u,COUNTIF('Question Set'!$G$166:$G$168,"Unknown"),IF(_xlpm.u=0,"-",_xlpm.u))</f>
        <v>-</v>
      </c>
      <c r="G33" s="41">
        <f>_xlfn.LET(_xlpm.n,COUNTIF('Question Set'!$G$166:$G$168,"No"),IF(_xlpm.n=0,"-",_xlpm.n))</f>
        <v>3</v>
      </c>
      <c r="H33" s="41" t="str">
        <f>_xlfn.LET(_xlpm.pl,COUNTIF('Question Set'!$G$166:$G$168,"Planned"),IF(_xlpm.pl=0,"-",_xlpm.pl))</f>
        <v>-</v>
      </c>
      <c r="I33" s="41" t="str">
        <f>_xlfn.LET(_xlpm.ip,COUNTIF('Question Set'!$G$166:$G$168,"In Progress"),IF(_xlpm.ip=0,"-",_xlpm.ip))</f>
        <v>-</v>
      </c>
      <c r="J33" s="42" t="str">
        <f>_xlfn.LET(_xlpm.y,COUNTIF('Question Set'!$G$166:$G$168,"Yes"),IF(_xlpm.y=0,"-",_xlpm.y))</f>
        <v>-</v>
      </c>
      <c r="K33" s="54">
        <f t="shared" si="1"/>
        <v>0</v>
      </c>
      <c r="L33" s="20" t="s">
        <v>592</v>
      </c>
      <c r="M33" s="27">
        <f t="shared" si="2"/>
        <v>9</v>
      </c>
    </row>
    <row r="34" spans="2:13" ht="30" customHeight="1" thickTop="1" thickBot="1" x14ac:dyDescent="0.25">
      <c r="B34" s="107"/>
      <c r="C34" s="32" t="s">
        <v>625</v>
      </c>
      <c r="D34" s="28">
        <v>4</v>
      </c>
      <c r="E34" s="43">
        <f>_xlfn.LET(_xlpm.na,COUNTIF('Question Set'!$G$171:$G$174,"Not Applicable"),IF(_xlpm.na=0,"-",_xlpm.na))</f>
        <v>1</v>
      </c>
      <c r="F34" s="44" t="str">
        <f>_xlfn.LET(_xlpm.u,COUNTIF('Question Set'!$G$171:$G$174,"Unknown"),IF(_xlpm.u=0,"-",_xlpm.u))</f>
        <v>-</v>
      </c>
      <c r="G34" s="44">
        <f>_xlfn.LET(_xlpm.n,COUNTIF('Question Set'!$G$171:$G$174,"No"),IF(_xlpm.n=0,"-",_xlpm.n))</f>
        <v>3</v>
      </c>
      <c r="H34" s="44" t="str">
        <f>_xlfn.LET(_xlpm.pl,COUNTIF('Question Set'!$G$171:$G$174,"Planned"),IF(_xlpm.pl=0,"-",_xlpm.pl))</f>
        <v>-</v>
      </c>
      <c r="I34" s="44" t="str">
        <f>_xlfn.LET(_xlpm.ip,COUNTIF('Question Set'!$G$171:$G$174,"In Progress"),IF(_xlpm.ip=0,"-",_xlpm.ip))</f>
        <v>-</v>
      </c>
      <c r="J34" s="45" t="str">
        <f>_xlfn.LET(_xlpm.y,COUNTIF('Question Set'!$G$171:$G$174,"Yes"),IF(_xlpm.y=0,"-",_xlpm.y))</f>
        <v>-</v>
      </c>
      <c r="K34" s="55">
        <f t="shared" si="1"/>
        <v>0</v>
      </c>
      <c r="L34" s="56" t="s">
        <v>592</v>
      </c>
      <c r="M34" s="28">
        <f t="shared" si="2"/>
        <v>9</v>
      </c>
    </row>
    <row r="35" spans="2:13" ht="30" customHeight="1" thickTop="1" thickBot="1" x14ac:dyDescent="0.25">
      <c r="B35" s="108"/>
      <c r="C35" s="33" t="s">
        <v>598</v>
      </c>
      <c r="D35" s="60">
        <f>SUM(D32:D34)</f>
        <v>10</v>
      </c>
      <c r="E35" s="61">
        <f t="shared" ref="E35:J35" si="8">_xlfn.LET(_xlpm.x,SUM(E32:E34),IF(_xlpm.x=0,"-",_xlpm.x))</f>
        <v>1</v>
      </c>
      <c r="F35" s="62">
        <f t="shared" si="8"/>
        <v>1</v>
      </c>
      <c r="G35" s="62">
        <f t="shared" si="8"/>
        <v>8</v>
      </c>
      <c r="H35" s="62" t="str">
        <f t="shared" si="8"/>
        <v>-</v>
      </c>
      <c r="I35" s="62" t="str">
        <f t="shared" si="8"/>
        <v>-</v>
      </c>
      <c r="J35" s="66" t="str">
        <f t="shared" si="8"/>
        <v>-</v>
      </c>
      <c r="K35" s="64">
        <f t="shared" ref="K35:K66" si="9">N(H35)+(N(I35)*2)+(N(J35)*3)</f>
        <v>0</v>
      </c>
      <c r="L35" s="65" t="s">
        <v>592</v>
      </c>
      <c r="M35" s="60">
        <f t="shared" ref="M35:M67" si="10">(SUM(F35:J35)*3)</f>
        <v>27</v>
      </c>
    </row>
    <row r="36" spans="2:13" ht="30" customHeight="1" thickTop="1" thickBot="1" x14ac:dyDescent="0.25">
      <c r="B36" s="106" t="s">
        <v>626</v>
      </c>
      <c r="C36" s="34" t="s">
        <v>627</v>
      </c>
      <c r="D36" s="29">
        <v>4</v>
      </c>
      <c r="E36" s="46" t="str">
        <f>_xlfn.LET(_xlpm.na,COUNTIF('Question Set'!$G$178:$G$181,"Not Applicable"),IF(_xlpm.na=0,"-",_xlpm.na))</f>
        <v>-</v>
      </c>
      <c r="F36" s="47" t="str">
        <f>_xlfn.LET(_xlpm.u,COUNTIF('Question Set'!$G$178:$G$181,"Unknown"),IF(_xlpm.u=0,"-",_xlpm.u))</f>
        <v>-</v>
      </c>
      <c r="G36" s="47">
        <f>_xlfn.LET(_xlpm.n,COUNTIF('Question Set'!$G$178:$G$181,"No"),IF(_xlpm.n=0,"-",_xlpm.n))</f>
        <v>2</v>
      </c>
      <c r="H36" s="47" t="str">
        <f>_xlfn.LET(_xlpm.pl,COUNTIF('Question Set'!$G$178:$G$181,"Planned"),IF(_xlpm.pl=0,"-",_xlpm.pl))</f>
        <v>-</v>
      </c>
      <c r="I36" s="47">
        <f>_xlfn.LET(_xlpm.ip,COUNTIF('Question Set'!$G$178:$G$181,"In Progress"),IF(_xlpm.ip=0,"-",_xlpm.ip))</f>
        <v>2</v>
      </c>
      <c r="J36" s="48" t="str">
        <f>_xlfn.LET(_xlpm.y,COUNTIF('Question Set'!$G$178:$G$181,"Yes"),IF(_xlpm.y=0,"-",_xlpm.y))</f>
        <v>-</v>
      </c>
      <c r="K36" s="57">
        <f t="shared" si="9"/>
        <v>4</v>
      </c>
      <c r="L36" s="19" t="s">
        <v>592</v>
      </c>
      <c r="M36" s="29">
        <f t="shared" si="10"/>
        <v>12</v>
      </c>
    </row>
    <row r="37" spans="2:13" ht="30" customHeight="1" thickTop="1" thickBot="1" x14ac:dyDescent="0.25">
      <c r="B37" s="107"/>
      <c r="C37" s="31" t="s">
        <v>628</v>
      </c>
      <c r="D37" s="27">
        <v>5</v>
      </c>
      <c r="E37" s="40" t="str">
        <f>_xlfn.LET(_xlpm.na,COUNTIF('Question Set'!$G$184:$G$188,"Not Applicable"),IF(_xlpm.na=0,"-",_xlpm.na))</f>
        <v>-</v>
      </c>
      <c r="F37" s="41" t="str">
        <f>_xlfn.LET(_xlpm.u,COUNTIF('Question Set'!$G$184:$G$188,"Unknown"),IF(_xlpm.u=0,"-",_xlpm.u))</f>
        <v>-</v>
      </c>
      <c r="G37" s="41">
        <f>_xlfn.LET(_xlpm.n,COUNTIF('Question Set'!$G$184:$G$188,"No"),IF(_xlpm.n=0,"-",_xlpm.n))</f>
        <v>3</v>
      </c>
      <c r="H37" s="41" t="str">
        <f>_xlfn.LET(_xlpm.pl,COUNTIF('Question Set'!$G$184:$G$188,"Planned"),IF(_xlpm.pl=0,"-",_xlpm.pl))</f>
        <v>-</v>
      </c>
      <c r="I37" s="41">
        <f>_xlfn.LET(_xlpm.ip,COUNTIF('Question Set'!$G$184:$G$188,"In Progress"),IF(_xlpm.ip=0,"-",_xlpm.ip))</f>
        <v>2</v>
      </c>
      <c r="J37" s="42" t="str">
        <f>_xlfn.LET(_xlpm.y,COUNTIF('Question Set'!$G$184:$G$188,"Yes"),IF(_xlpm.y=0,"-",_xlpm.y))</f>
        <v>-</v>
      </c>
      <c r="K37" s="54">
        <f t="shared" si="9"/>
        <v>4</v>
      </c>
      <c r="L37" s="20" t="s">
        <v>592</v>
      </c>
      <c r="M37" s="27">
        <f t="shared" si="10"/>
        <v>15</v>
      </c>
    </row>
    <row r="38" spans="2:13" ht="30" customHeight="1" thickTop="1" thickBot="1" x14ac:dyDescent="0.25">
      <c r="B38" s="107"/>
      <c r="C38" s="31" t="s">
        <v>629</v>
      </c>
      <c r="D38" s="27">
        <v>4</v>
      </c>
      <c r="E38" s="40" t="str">
        <f>_xlfn.LET(_xlpm.na,COUNTIF('Question Set'!$G$191:$G$194,"Not Applicable"),IF(_xlpm.na=0,"-",_xlpm.na))</f>
        <v>-</v>
      </c>
      <c r="F38" s="41" t="str">
        <f>_xlfn.LET(_xlpm.u,COUNTIF('Question Set'!$G$191:$G$194,"Unknown"),IF(_xlpm.u=0,"-",_xlpm.u))</f>
        <v>-</v>
      </c>
      <c r="G38" s="41">
        <f>_xlfn.LET(_xlpm.n,COUNTIF('Question Set'!$G$191:$G$194,"No"),IF(_xlpm.n=0,"-",_xlpm.n))</f>
        <v>3</v>
      </c>
      <c r="H38" s="41" t="str">
        <f>_xlfn.LET(_xlpm.pl,COUNTIF('Question Set'!$G$191:$G$194,"Planned"),IF(_xlpm.pl=0,"-",_xlpm.pl))</f>
        <v>-</v>
      </c>
      <c r="I38" s="41">
        <f>_xlfn.LET(_xlpm.ip,COUNTIF('Question Set'!$G$191:$G$194,"In Progress"),IF(_xlpm.ip=0,"-",_xlpm.ip))</f>
        <v>1</v>
      </c>
      <c r="J38" s="42" t="str">
        <f>_xlfn.LET(_xlpm.y,COUNTIF('Question Set'!$G$191:$G$194,"Yes"),IF(_xlpm.y=0,"-",_xlpm.y))</f>
        <v>-</v>
      </c>
      <c r="K38" s="54">
        <f t="shared" si="9"/>
        <v>2</v>
      </c>
      <c r="L38" s="20" t="s">
        <v>592</v>
      </c>
      <c r="M38" s="27">
        <f t="shared" si="10"/>
        <v>12</v>
      </c>
    </row>
    <row r="39" spans="2:13" ht="30" customHeight="1" thickTop="1" thickBot="1" x14ac:dyDescent="0.25">
      <c r="B39" s="107"/>
      <c r="C39" s="32" t="s">
        <v>630</v>
      </c>
      <c r="D39" s="28">
        <v>2</v>
      </c>
      <c r="E39" s="43" t="str">
        <f>_xlfn.LET(_xlpm.na,COUNTIF('Question Set'!$G$197:$G$198,"Not Applicable"),IF(_xlpm.na=0,"-",_xlpm.na))</f>
        <v>-</v>
      </c>
      <c r="F39" s="44" t="str">
        <f>_xlfn.LET(_xlpm.u,COUNTIF('Question Set'!$G$197:$G$198,"Unknown"),IF(_xlpm.u=0,"-",_xlpm.u))</f>
        <v>-</v>
      </c>
      <c r="G39" s="44">
        <f>_xlfn.LET(_xlpm.n,COUNTIF('Question Set'!$G$197:$G$198,"No"),IF(_xlpm.n=0,"-",_xlpm.n))</f>
        <v>1</v>
      </c>
      <c r="H39" s="44" t="str">
        <f>_xlfn.LET(_xlpm.pl,COUNTIF('Question Set'!$G$197:$G$198,"Planned"),IF(_xlpm.pl=0,"-",_xlpm.pl))</f>
        <v>-</v>
      </c>
      <c r="I39" s="44">
        <f>_xlfn.LET(_xlpm.ip,COUNTIF('Question Set'!$G$197:$G$198,"In Progress"),IF(_xlpm.ip=0,"-",_xlpm.ip))</f>
        <v>1</v>
      </c>
      <c r="J39" s="45" t="str">
        <f>_xlfn.LET(_xlpm.y,COUNTIF('Question Set'!$G$197:$G$198,"Yes"),IF(_xlpm.y=0,"-",_xlpm.y))</f>
        <v>-</v>
      </c>
      <c r="K39" s="55">
        <f t="shared" si="9"/>
        <v>2</v>
      </c>
      <c r="L39" s="56" t="s">
        <v>592</v>
      </c>
      <c r="M39" s="28">
        <f t="shared" si="10"/>
        <v>6</v>
      </c>
    </row>
    <row r="40" spans="2:13" ht="30" customHeight="1" thickTop="1" thickBot="1" x14ac:dyDescent="0.25">
      <c r="B40" s="108"/>
      <c r="C40" s="33" t="s">
        <v>598</v>
      </c>
      <c r="D40" s="60">
        <f>SUM(D36:D39)</f>
        <v>15</v>
      </c>
      <c r="E40" s="61" t="str">
        <f t="shared" ref="E40:J40" si="11">_xlfn.LET(_xlpm.x,SUM(E36:E39),IF(_xlpm.x=0,"-",_xlpm.x))</f>
        <v>-</v>
      </c>
      <c r="F40" s="62" t="str">
        <f t="shared" si="11"/>
        <v>-</v>
      </c>
      <c r="G40" s="62">
        <f t="shared" si="11"/>
        <v>9</v>
      </c>
      <c r="H40" s="62" t="str">
        <f t="shared" si="11"/>
        <v>-</v>
      </c>
      <c r="I40" s="62">
        <f t="shared" si="11"/>
        <v>6</v>
      </c>
      <c r="J40" s="66" t="str">
        <f t="shared" si="11"/>
        <v>-</v>
      </c>
      <c r="K40" s="64">
        <f t="shared" si="9"/>
        <v>12</v>
      </c>
      <c r="L40" s="65" t="s">
        <v>592</v>
      </c>
      <c r="M40" s="60">
        <f t="shared" si="10"/>
        <v>45</v>
      </c>
    </row>
    <row r="41" spans="2:13" ht="30" customHeight="1" thickTop="1" thickBot="1" x14ac:dyDescent="0.25">
      <c r="B41" s="106" t="s">
        <v>631</v>
      </c>
      <c r="C41" s="34" t="s">
        <v>632</v>
      </c>
      <c r="D41" s="29">
        <v>2</v>
      </c>
      <c r="E41" s="46" t="str">
        <f>_xlfn.LET(_xlpm.na,COUNTIF('Question Set'!$G$202:$G$203,"Not Applicable"),IF(_xlpm.na=0,"-",_xlpm.na))</f>
        <v>-</v>
      </c>
      <c r="F41" s="47" t="str">
        <f>_xlfn.LET(_xlpm.u,COUNTIF('Question Set'!$G$202:$G$203,"Unknown"),IF(_xlpm.u=0,"-",_xlpm.u))</f>
        <v>-</v>
      </c>
      <c r="G41" s="47" t="str">
        <f>_xlfn.LET(_xlpm.n,COUNTIF('Question Set'!$G$202:$G$203,"No"),IF(_xlpm.n=0,"-",_xlpm.n))</f>
        <v>-</v>
      </c>
      <c r="H41" s="47">
        <f>_xlfn.LET(_xlpm.pl,COUNTIF('Question Set'!$G$202:$G$203,"Planned"),IF(_xlpm.pl=0,"-",_xlpm.pl))</f>
        <v>1</v>
      </c>
      <c r="I41" s="47">
        <f>_xlfn.LET(_xlpm.ip,COUNTIF('Question Set'!$G$202:$G$203,"In Progress"),IF(_xlpm.ip=0,"-",_xlpm.ip))</f>
        <v>1</v>
      </c>
      <c r="J41" s="48" t="str">
        <f>_xlfn.LET(_xlpm.y,COUNTIF('Question Set'!$G$202:$G$203,"Yes"),IF(_xlpm.y=0,"-",_xlpm.y))</f>
        <v>-</v>
      </c>
      <c r="K41" s="57">
        <f t="shared" si="9"/>
        <v>3</v>
      </c>
      <c r="L41" s="19" t="s">
        <v>592</v>
      </c>
      <c r="M41" s="29">
        <f t="shared" si="10"/>
        <v>6</v>
      </c>
    </row>
    <row r="42" spans="2:13" ht="30" customHeight="1" thickTop="1" thickBot="1" x14ac:dyDescent="0.25">
      <c r="B42" s="107"/>
      <c r="C42" s="31" t="s">
        <v>633</v>
      </c>
      <c r="D42" s="27">
        <v>4</v>
      </c>
      <c r="E42" s="40" t="str">
        <f>_xlfn.LET(_xlpm.na,COUNTIF('Question Set'!$G$206:$G$209,"Not Applicable"),IF(_xlpm.na=0,"-",_xlpm.na))</f>
        <v>-</v>
      </c>
      <c r="F42" s="41" t="str">
        <f>_xlfn.LET(_xlpm.u,COUNTIF('Question Set'!$G$206:$G$209,"Unknown"),IF(_xlpm.u=0,"-",_xlpm.u))</f>
        <v>-</v>
      </c>
      <c r="G42" s="41" t="str">
        <f>_xlfn.LET(_xlpm.n,COUNTIF('Question Set'!$G$206:$G$209,"No"),IF(_xlpm.n=0,"-",_xlpm.n))</f>
        <v>-</v>
      </c>
      <c r="H42" s="41">
        <f>_xlfn.LET(_xlpm.pl,COUNTIF('Question Set'!$G$206:$G$209,"Planned"),IF(_xlpm.pl=0,"-",_xlpm.pl))</f>
        <v>1</v>
      </c>
      <c r="I42" s="41">
        <f>_xlfn.LET(_xlpm.ip,COUNTIF('Question Set'!$G$206:$G$209,"In Progress"),IF(_xlpm.ip=0,"-",_xlpm.ip))</f>
        <v>3</v>
      </c>
      <c r="J42" s="42" t="str">
        <f>_xlfn.LET(_xlpm.y,COUNTIF('Question Set'!$G$206:$G$209,"Yes"),IF(_xlpm.y=0,"-",_xlpm.y))</f>
        <v>-</v>
      </c>
      <c r="K42" s="54">
        <f t="shared" si="9"/>
        <v>7</v>
      </c>
      <c r="L42" s="20" t="s">
        <v>592</v>
      </c>
      <c r="M42" s="27">
        <f t="shared" si="10"/>
        <v>12</v>
      </c>
    </row>
    <row r="43" spans="2:13" ht="30" customHeight="1" thickTop="1" thickBot="1" x14ac:dyDescent="0.25">
      <c r="B43" s="107"/>
      <c r="C43" s="32" t="s">
        <v>634</v>
      </c>
      <c r="D43" s="28">
        <v>4</v>
      </c>
      <c r="E43" s="43" t="str">
        <f>_xlfn.LET(_xlpm.na,COUNTIF('Question Set'!$G$212:$G$215,"Not Applicable"),IF(_xlpm.na=0,"-",_xlpm.na))</f>
        <v>-</v>
      </c>
      <c r="F43" s="44" t="str">
        <f>_xlfn.LET(_xlpm.u,COUNTIF('Question Set'!$G$212:$G$215,"Unknown"),IF(_xlpm.u=0,"-",_xlpm.u))</f>
        <v>-</v>
      </c>
      <c r="G43" s="44">
        <f>_xlfn.LET(_xlpm.n,COUNTIF('Question Set'!$G$212:$G$215,"No"),IF(_xlpm.n=0,"-",_xlpm.n))</f>
        <v>2</v>
      </c>
      <c r="H43" s="44" t="str">
        <f>_xlfn.LET(_xlpm.pl,COUNTIF('Question Set'!$G$212:$G$215,"Planned"),IF(_xlpm.pl=0,"-",_xlpm.pl))</f>
        <v>-</v>
      </c>
      <c r="I43" s="44" t="str">
        <f>_xlfn.LET(_xlpm.ip,COUNTIF('Question Set'!$G$212:$G$215,"In Progress"),IF(_xlpm.ip=0,"-",_xlpm.ip))</f>
        <v>-</v>
      </c>
      <c r="J43" s="45">
        <f>_xlfn.LET(_xlpm.y,COUNTIF('Question Set'!$G$212:$G$215,"Yes"),IF(_xlpm.y=0,"-",_xlpm.y))</f>
        <v>2</v>
      </c>
      <c r="K43" s="55">
        <f t="shared" si="9"/>
        <v>6</v>
      </c>
      <c r="L43" s="56" t="s">
        <v>592</v>
      </c>
      <c r="M43" s="28">
        <f t="shared" si="10"/>
        <v>12</v>
      </c>
    </row>
    <row r="44" spans="2:13" ht="30" customHeight="1" thickTop="1" thickBot="1" x14ac:dyDescent="0.25">
      <c r="B44" s="108"/>
      <c r="C44" s="33" t="s">
        <v>598</v>
      </c>
      <c r="D44" s="60">
        <f>SUM(D41:D43)</f>
        <v>10</v>
      </c>
      <c r="E44" s="61" t="str">
        <f t="shared" ref="E44:J44" si="12">_xlfn.LET(_xlpm.x,SUM(E41:E43),IF(_xlpm.x=0,"-",_xlpm.x))</f>
        <v>-</v>
      </c>
      <c r="F44" s="62" t="str">
        <f t="shared" si="12"/>
        <v>-</v>
      </c>
      <c r="G44" s="62">
        <f t="shared" si="12"/>
        <v>2</v>
      </c>
      <c r="H44" s="62">
        <f t="shared" si="12"/>
        <v>2</v>
      </c>
      <c r="I44" s="62">
        <f t="shared" si="12"/>
        <v>4</v>
      </c>
      <c r="J44" s="66">
        <f t="shared" si="12"/>
        <v>2</v>
      </c>
      <c r="K44" s="64">
        <f t="shared" si="9"/>
        <v>16</v>
      </c>
      <c r="L44" s="65" t="s">
        <v>592</v>
      </c>
      <c r="M44" s="60">
        <f t="shared" si="10"/>
        <v>30</v>
      </c>
    </row>
    <row r="45" spans="2:13" ht="30" customHeight="1" thickTop="1" thickBot="1" x14ac:dyDescent="0.25">
      <c r="B45" s="106" t="s">
        <v>635</v>
      </c>
      <c r="C45" s="34" t="s">
        <v>636</v>
      </c>
      <c r="D45" s="29">
        <v>4</v>
      </c>
      <c r="E45" s="46">
        <f>_xlfn.LET(_xlpm.na,COUNTIF('Question Set'!$G$219:$G$222,"Not Applicable"),IF(_xlpm.na=0,"-",_xlpm.na))</f>
        <v>1</v>
      </c>
      <c r="F45" s="47" t="str">
        <f>_xlfn.LET(_xlpm.u,COUNTIF('Question Set'!$G$219:$G$222,"Unknown"),IF(_xlpm.u=0,"-",_xlpm.u))</f>
        <v>-</v>
      </c>
      <c r="G45" s="47" t="str">
        <f>_xlfn.LET(_xlpm.n,COUNTIF('Question Set'!$G$219:$G$222,"No"),IF(_xlpm.n=0,"-",_xlpm.n))</f>
        <v>-</v>
      </c>
      <c r="H45" s="47">
        <f>_xlfn.LET(_xlpm.pl,COUNTIF('Question Set'!$G$219:$G$222,"Planned"),IF(_xlpm.pl=0,"-",_xlpm.pl))</f>
        <v>1</v>
      </c>
      <c r="I45" s="47">
        <f>_xlfn.LET(_xlpm.ip,COUNTIF('Question Set'!$G$219:$G$222,"In Progress"),IF(_xlpm.ip=0,"-",_xlpm.ip))</f>
        <v>2</v>
      </c>
      <c r="J45" s="48" t="str">
        <f>_xlfn.LET(_xlpm.y,COUNTIF('Question Set'!$G$219:$G$222,"Yes"),IF(_xlpm.y=0,"-",_xlpm.y))</f>
        <v>-</v>
      </c>
      <c r="K45" s="57">
        <f t="shared" si="9"/>
        <v>5</v>
      </c>
      <c r="L45" s="19" t="s">
        <v>592</v>
      </c>
      <c r="M45" s="29">
        <f t="shared" si="10"/>
        <v>9</v>
      </c>
    </row>
    <row r="46" spans="2:13" ht="30" customHeight="1" thickTop="1" thickBot="1" x14ac:dyDescent="0.25">
      <c r="B46" s="107"/>
      <c r="C46" s="31" t="s">
        <v>637</v>
      </c>
      <c r="D46" s="27">
        <v>4</v>
      </c>
      <c r="E46" s="40" t="str">
        <f>_xlfn.LET(_xlpm.na,COUNTIF('Question Set'!$G$225:$G$228,"Not Applicable"),IF(_xlpm.na=0,"-",))</f>
        <v>-</v>
      </c>
      <c r="F46" s="41" t="str">
        <f>_xlfn.LET(_xlpm.u,COUNTIF('Question Set'!$G$225:$G$228,"Unknown"),IF(_xlpm.u=0,"-",_xlpm.u))</f>
        <v>-</v>
      </c>
      <c r="G46" s="41" t="str">
        <f>_xlfn.LET(_xlpm.n,COUNTIF('Question Set'!$G$225:$G$228,"No"),IF(_xlpm.n=0,"-",_xlpm.n))</f>
        <v>-</v>
      </c>
      <c r="H46" s="41">
        <f>_xlfn.LET(_xlpm.pl,COUNTIF('Question Set'!$G$225:$G$228,"Planned"),IF(_xlpm.pl=0,"-",_xlpm.pl))</f>
        <v>1</v>
      </c>
      <c r="I46" s="41">
        <f>_xlfn.LET(_xlpm.ip,COUNTIF('Question Set'!$G$225:$G$228,"In Progress"),IF(_xlpm.ip=0,"-",_xlpm.ip))</f>
        <v>2</v>
      </c>
      <c r="J46" s="42">
        <f>_xlfn.LET(_xlpm.y,COUNTIF('Question Set'!$G$225:$G$228,"Yes"),IF(_xlpm.y=0,"-",_xlpm.y))</f>
        <v>1</v>
      </c>
      <c r="K46" s="54">
        <f t="shared" si="9"/>
        <v>8</v>
      </c>
      <c r="L46" s="20" t="s">
        <v>592</v>
      </c>
      <c r="M46" s="27">
        <f t="shared" si="10"/>
        <v>12</v>
      </c>
    </row>
    <row r="47" spans="2:13" ht="30" customHeight="1" thickTop="1" thickBot="1" x14ac:dyDescent="0.25">
      <c r="B47" s="107"/>
      <c r="C47" s="31" t="s">
        <v>638</v>
      </c>
      <c r="D47" s="27">
        <v>4</v>
      </c>
      <c r="E47" s="40" t="str">
        <f>_xlfn.LET(_xlpm.na,COUNTIF('Question Set'!$G$231:$G$234,"Not Applicable"),IF(_xlpm.na=0,"-",_xlpm.na))</f>
        <v>-</v>
      </c>
      <c r="F47" s="41" t="str">
        <f>_xlfn.LET(_xlpm.u,COUNTIF('Question Set'!$G$231:$G$234,"Unknown"),IF(_xlpm.u=0,"-",_xlpm.u))</f>
        <v>-</v>
      </c>
      <c r="G47" s="41" t="str">
        <f>_xlfn.LET(_xlpm.n,COUNTIF('Question Set'!$G$231:$G$234,"No"),IF(_xlpm.n=0,"-",_xlpm.n))</f>
        <v>-</v>
      </c>
      <c r="H47" s="41" t="str">
        <f>_xlfn.LET(_xlpm.pl,COUNTIF('Question Set'!$G$231:$G$234,"Planned"),IF(_xlpm.pl=0,"-",_xlpm.pl))</f>
        <v>-</v>
      </c>
      <c r="I47" s="41">
        <f>_xlfn.LET(_xlpm.ip,COUNTIF('Question Set'!$G$231:$G$234,"In Progress"),IF(_xlpm.ip=0,"-",_xlpm.ip))</f>
        <v>4</v>
      </c>
      <c r="J47" s="42" t="str">
        <f>_xlfn.LET(_xlpm.y,COUNTIF('Question Set'!$G$231:$G$234,"Yes"),IF(_xlpm.y=0,"-",_xlpm.y))</f>
        <v>-</v>
      </c>
      <c r="K47" s="54">
        <f t="shared" si="9"/>
        <v>8</v>
      </c>
      <c r="L47" s="20" t="s">
        <v>592</v>
      </c>
      <c r="M47" s="27">
        <f t="shared" si="10"/>
        <v>12</v>
      </c>
    </row>
    <row r="48" spans="2:13" ht="30" customHeight="1" thickTop="1" thickBot="1" x14ac:dyDescent="0.25">
      <c r="B48" s="107"/>
      <c r="C48" s="32" t="s">
        <v>639</v>
      </c>
      <c r="D48" s="28">
        <v>3</v>
      </c>
      <c r="E48" s="43" t="str">
        <f>_xlfn.LET(_xlpm.na,COUNTIF('Question Set'!$G$237:$G$239,"Not Applicable"),IF(_xlpm.na=0,"-",_xlpm.na))</f>
        <v>-</v>
      </c>
      <c r="F48" s="44">
        <f>_xlfn.LET(_xlpm.u,COUNTIF('Question Set'!$G$237:$G$239,"Unknown"),IF(_xlpm.u=0,"-",_xlpm.u))</f>
        <v>1</v>
      </c>
      <c r="G48" s="44" t="str">
        <f>_xlfn.LET(_xlpm.n,COUNTIF('Question Set'!$G$237:$G$239,"No"),IF(_xlpm.n=0,"-",_xlpm.n))</f>
        <v>-</v>
      </c>
      <c r="H48" s="44" t="str">
        <f>_xlfn.LET(_xlpm.pl,COUNTIF('Question Set'!$G$237:$G$239,"Planned"),IF(_xlpm.pl=0,"-",_xlpm.pl))</f>
        <v>-</v>
      </c>
      <c r="I48" s="44">
        <f>_xlfn.LET(_xlpm.ip,COUNTIF('Question Set'!$G$237:$G$239,"In Progress"),IF(_xlpm.ip=0,"-",_xlpm.ip))</f>
        <v>2</v>
      </c>
      <c r="J48" s="45" t="str">
        <f>_xlfn.LET(_xlpm.y,COUNTIF('Question Set'!$G$237:$G$239,"Yes"),IF(_xlpm.y=0,"-",_xlpm.y))</f>
        <v>-</v>
      </c>
      <c r="K48" s="55">
        <f t="shared" si="9"/>
        <v>4</v>
      </c>
      <c r="L48" s="56" t="s">
        <v>592</v>
      </c>
      <c r="M48" s="28">
        <f t="shared" si="10"/>
        <v>9</v>
      </c>
    </row>
    <row r="49" spans="2:13" ht="30" customHeight="1" thickTop="1" thickBot="1" x14ac:dyDescent="0.25">
      <c r="B49" s="108"/>
      <c r="C49" s="33" t="s">
        <v>598</v>
      </c>
      <c r="D49" s="60">
        <f>SUM(D45:D48)</f>
        <v>15</v>
      </c>
      <c r="E49" s="61">
        <f t="shared" ref="E49:J49" si="13">_xlfn.LET(_xlpm.x,SUM(E45:E48),IF(_xlpm.x=0,"-",_xlpm.x))</f>
        <v>1</v>
      </c>
      <c r="F49" s="62">
        <f t="shared" si="13"/>
        <v>1</v>
      </c>
      <c r="G49" s="62" t="str">
        <f t="shared" si="13"/>
        <v>-</v>
      </c>
      <c r="H49" s="62">
        <f t="shared" si="13"/>
        <v>2</v>
      </c>
      <c r="I49" s="62">
        <f t="shared" si="13"/>
        <v>10</v>
      </c>
      <c r="J49" s="66">
        <f t="shared" si="13"/>
        <v>1</v>
      </c>
      <c r="K49" s="64">
        <f t="shared" si="9"/>
        <v>25</v>
      </c>
      <c r="L49" s="65" t="s">
        <v>592</v>
      </c>
      <c r="M49" s="60">
        <f t="shared" si="10"/>
        <v>42</v>
      </c>
    </row>
    <row r="50" spans="2:13" ht="30" customHeight="1" thickTop="1" thickBot="1" x14ac:dyDescent="0.25">
      <c r="B50" s="106" t="s">
        <v>640</v>
      </c>
      <c r="C50" s="34" t="s">
        <v>641</v>
      </c>
      <c r="D50" s="29">
        <v>6</v>
      </c>
      <c r="E50" s="46" t="str">
        <f>_xlfn.LET(_xlpm.na,COUNTIF('Question Set'!$G$243:$G$248,"Not Applicable"),IF(_xlpm.na=0,"-",_xlpm.na))</f>
        <v>-</v>
      </c>
      <c r="F50" s="47" t="str">
        <f>_xlfn.LET(_xlpm.u,COUNTIF('Question Set'!$G$243:$G$248,"Unknown"),IF(_xlpm.u=0,"-",_xlpm.u))</f>
        <v>-</v>
      </c>
      <c r="G50" s="47">
        <f>_xlfn.LET(_xlpm.n,COUNTIF('Question Set'!$G$243:$G$248,"No"),IF(_xlpm.n=0,"-",_xlpm.n))</f>
        <v>4</v>
      </c>
      <c r="H50" s="47" t="str">
        <f>_xlfn.LET(_xlpm.pl,COUNTIF('Question Set'!$G$243:$G$248,"Planned"),IF(_xlpm.pl=0,"-",_xlpm.pl))</f>
        <v>-</v>
      </c>
      <c r="I50" s="47" t="str">
        <f>_xlfn.LET(_xlpm.ip,COUNTIF('Question Set'!$G$243:$G$248,"In Progress"),IF(_xlpm.ip=0,"-",_xlpm.ip))</f>
        <v>-</v>
      </c>
      <c r="J50" s="48">
        <f>_xlfn.LET(_xlpm.y,COUNTIF('Question Set'!$G$243:$G$248,"Yes"),IF(_xlpm.y=0,"-",_xlpm.y))</f>
        <v>2</v>
      </c>
      <c r="K50" s="57">
        <f t="shared" si="9"/>
        <v>6</v>
      </c>
      <c r="L50" s="19" t="s">
        <v>592</v>
      </c>
      <c r="M50" s="29">
        <f t="shared" si="10"/>
        <v>18</v>
      </c>
    </row>
    <row r="51" spans="2:13" ht="30" customHeight="1" thickTop="1" thickBot="1" x14ac:dyDescent="0.25">
      <c r="B51" s="107"/>
      <c r="C51" s="31" t="s">
        <v>642</v>
      </c>
      <c r="D51" s="27">
        <v>2</v>
      </c>
      <c r="E51" s="40" t="str">
        <f>_xlfn.LET(_xlpm.na,COUNTIF('Question Set'!$G$251:$G$252,"Not Applicable"),IF(_xlpm.na=0,"-",_xlpm.na))</f>
        <v>-</v>
      </c>
      <c r="F51" s="41" t="str">
        <f>_xlfn.LET(_xlpm.u,COUNTIF('Question Set'!$G$251:$G$252,"Unknown"),IF(_xlpm.u=0,"-",_xlpm.u))</f>
        <v>-</v>
      </c>
      <c r="G51" s="41">
        <f>_xlfn.LET(_xlpm.n,COUNTIF('Question Set'!$G$251:$G$252,"No"),IF(_xlpm.n=0,"-",_xlpm.n))</f>
        <v>1</v>
      </c>
      <c r="H51" s="41" t="str">
        <f>_xlfn.LET(_xlpm.pl,COUNTIF('Question Set'!$G$251:$G$252,"Planned"),IF(_xlpm.pl=0,"-",_xlpm.pl))</f>
        <v>-</v>
      </c>
      <c r="I51" s="41">
        <f>_xlfn.LET(_xlpm.ip,COUNTIF('Question Set'!$G$251:$G$252,"In Progress"),IF(_xlpm.ip=0,"-",_xlpm.ip))</f>
        <v>1</v>
      </c>
      <c r="J51" s="42" t="str">
        <f>_xlfn.LET(_xlpm.y,COUNTIF('Question Set'!$G$251:$G$252,"Yes"),IF(_xlpm.y=0,"-",_xlpm.y))</f>
        <v>-</v>
      </c>
      <c r="K51" s="54">
        <f t="shared" si="9"/>
        <v>2</v>
      </c>
      <c r="L51" s="20" t="s">
        <v>592</v>
      </c>
      <c r="M51" s="27">
        <f t="shared" si="10"/>
        <v>6</v>
      </c>
    </row>
    <row r="52" spans="2:13" ht="30" customHeight="1" thickTop="1" thickBot="1" x14ac:dyDescent="0.25">
      <c r="B52" s="107"/>
      <c r="C52" s="31" t="s">
        <v>643</v>
      </c>
      <c r="D52" s="27">
        <v>3</v>
      </c>
      <c r="E52" s="40" t="str">
        <f>_xlfn.LET(_xlpm.na,COUNTIF('Question Set'!$G$255:$G$257,"Not Applicable"),IF(_xlpm.na=0,"-",_xlpm.na))</f>
        <v>-</v>
      </c>
      <c r="F52" s="41" t="str">
        <f>_xlfn.LET(_xlpm.u,COUNTIF('Question Set'!$G$255:$G$257,"Unknown"),IF(_xlpm.u=0,"-",_xlpm.u))</f>
        <v>-</v>
      </c>
      <c r="G52" s="41">
        <f>_xlfn.LET(_xlpm.n,COUNTIF('Question Set'!$G$255:$G$257,"No"),IF(_xlpm.n=0,"-",_xlpm.n))</f>
        <v>1</v>
      </c>
      <c r="H52" s="41" t="str">
        <f>_xlfn.LET(_xlpm.pl,COUNTIF('Question Set'!$G$255:$G$257,"Planned"),IF(_xlpm.pl=0,"-",_xlpm.pl))</f>
        <v>-</v>
      </c>
      <c r="I52" s="41">
        <f>_xlfn.LET(_xlpm.ip,COUNTIF('Question Set'!$G$255:$G$257,"In Progress"),IF(_xlpm.ip=0,"-",_xlpm.ip))</f>
        <v>1</v>
      </c>
      <c r="J52" s="42">
        <f>_xlfn.LET(_xlpm.y,COUNTIF('Question Set'!$G$255:$G$257,"Yes"),IF(_xlpm.y=0,"-",_xlpm.y))</f>
        <v>1</v>
      </c>
      <c r="K52" s="54">
        <f t="shared" si="9"/>
        <v>5</v>
      </c>
      <c r="L52" s="20" t="s">
        <v>592</v>
      </c>
      <c r="M52" s="27">
        <f t="shared" si="10"/>
        <v>9</v>
      </c>
    </row>
    <row r="53" spans="2:13" ht="30" customHeight="1" thickTop="1" thickBot="1" x14ac:dyDescent="0.25">
      <c r="B53" s="107"/>
      <c r="C53" s="31" t="s">
        <v>644</v>
      </c>
      <c r="D53" s="27">
        <v>4</v>
      </c>
      <c r="E53" s="40" t="str">
        <f>_xlfn.LET(_xlpm.na,COUNTIF('Question Set'!$G$260:$G$263,"Not Applicable"),IF(_xlpm.na=0,"-",_xlpm.na))</f>
        <v>-</v>
      </c>
      <c r="F53" s="41" t="str">
        <f>_xlfn.LET(_xlpm.u,COUNTIF('Question Set'!$G$260:$G$263,"Unknown"),IF(_xlpm.u=0,"-",_xlpm.u))</f>
        <v>-</v>
      </c>
      <c r="G53" s="41" t="str">
        <f>_xlfn.LET(_xlpm.n,COUNTIF('Question Set'!$G$260:$G$263,"No"),IF(_xlpm.n=0,"-",_xlpm.n))</f>
        <v>-</v>
      </c>
      <c r="H53" s="41" t="str">
        <f>_xlfn.LET(_xlpm.pl,COUNTIF('Question Set'!$G$260:$G$263,"Planned"),IF(_xlpm.pl=0,"-",_xlpm.pl))</f>
        <v>-</v>
      </c>
      <c r="I53" s="41">
        <f>_xlfn.LET(_xlpm.ip,COUNTIF('Question Set'!$G$260:$G$263,"In Progress"),IF(_xlpm.ip=0,"-",_xlpm.ip))</f>
        <v>2</v>
      </c>
      <c r="J53" s="42">
        <f>_xlfn.LET(_xlpm.y,COUNTIF('Question Set'!$G$260:$G$263,"Yes"),IF(_xlpm.y=0,"-",_xlpm.y))</f>
        <v>2</v>
      </c>
      <c r="K53" s="54">
        <f t="shared" si="9"/>
        <v>10</v>
      </c>
      <c r="L53" s="20" t="s">
        <v>592</v>
      </c>
      <c r="M53" s="27">
        <f t="shared" si="10"/>
        <v>12</v>
      </c>
    </row>
    <row r="54" spans="2:13" ht="30" customHeight="1" thickTop="1" thickBot="1" x14ac:dyDescent="0.25">
      <c r="B54" s="107"/>
      <c r="C54" s="32" t="s">
        <v>645</v>
      </c>
      <c r="D54" s="28">
        <v>3</v>
      </c>
      <c r="E54" s="43">
        <f>_xlfn.LET(_xlpm.na,COUNTIF('Question Set'!$G$266:$G$268,"Not Applicable"),IF(_xlpm.na=0,"-",_xlpm.na))</f>
        <v>1</v>
      </c>
      <c r="F54" s="44" t="str">
        <f>_xlfn.LET(_xlpm.u,COUNTIF('Question Set'!$G$266:$G$268,"Unknown"),IF(_xlpm.u=0,"-",_xlpm.u))</f>
        <v>-</v>
      </c>
      <c r="G54" s="44">
        <f>_xlfn.LET(_xlpm.n,COUNTIF('Question Set'!$G$266:$G$268,"No"),IF(_xlpm.n=0,"-",_xlpm.n))</f>
        <v>1</v>
      </c>
      <c r="H54" s="44" t="str">
        <f>_xlfn.LET(_xlpm.pl,COUNTIF('Question Set'!$G$266:$G$268,"Planned"),IF(_xlpm.pl=0,"-",_xlpm.pl))</f>
        <v>-</v>
      </c>
      <c r="I54" s="44" t="str">
        <f>_xlfn.LET(_xlpm.ip,COUNTIF('Question Set'!$G$266:$G$268,"In Progress"),IF(_xlpm.ip=0,"-",_xlpm.ip))</f>
        <v>-</v>
      </c>
      <c r="J54" s="45">
        <f>_xlfn.LET(_xlpm.y,COUNTIF('Question Set'!$G$266:$G$268,"Yes"),IF(_xlpm.y=0,"-",_xlpm.y))</f>
        <v>1</v>
      </c>
      <c r="K54" s="55">
        <f t="shared" si="9"/>
        <v>3</v>
      </c>
      <c r="L54" s="56" t="s">
        <v>592</v>
      </c>
      <c r="M54" s="28">
        <f t="shared" si="10"/>
        <v>6</v>
      </c>
    </row>
    <row r="55" spans="2:13" ht="30" customHeight="1" thickTop="1" thickBot="1" x14ac:dyDescent="0.25">
      <c r="B55" s="108"/>
      <c r="C55" s="33" t="s">
        <v>598</v>
      </c>
      <c r="D55" s="60">
        <f>SUM(D50:D54)</f>
        <v>18</v>
      </c>
      <c r="E55" s="61">
        <f t="shared" ref="E55:J55" si="14">_xlfn.LET(_xlpm.x,SUM(E50:E54),IF(_xlpm.x=0,"-",_xlpm.x))</f>
        <v>1</v>
      </c>
      <c r="F55" s="62" t="str">
        <f t="shared" si="14"/>
        <v>-</v>
      </c>
      <c r="G55" s="62">
        <f t="shared" si="14"/>
        <v>7</v>
      </c>
      <c r="H55" s="62" t="str">
        <f t="shared" si="14"/>
        <v>-</v>
      </c>
      <c r="I55" s="62">
        <f t="shared" si="14"/>
        <v>4</v>
      </c>
      <c r="J55" s="66">
        <f t="shared" si="14"/>
        <v>6</v>
      </c>
      <c r="K55" s="64">
        <f t="shared" si="9"/>
        <v>26</v>
      </c>
      <c r="L55" s="65" t="s">
        <v>592</v>
      </c>
      <c r="M55" s="60">
        <f t="shared" si="10"/>
        <v>51</v>
      </c>
    </row>
    <row r="56" spans="2:13" ht="30" customHeight="1" thickTop="1" thickBot="1" x14ac:dyDescent="0.25">
      <c r="B56" s="106" t="s">
        <v>646</v>
      </c>
      <c r="C56" s="34" t="s">
        <v>647</v>
      </c>
      <c r="D56" s="29">
        <v>2</v>
      </c>
      <c r="E56" s="46" t="str">
        <f>_xlfn.LET(_xlpm.na,COUNTIF('Question Set'!$G$272:$G$273,"Not Applicable"),IF(_xlpm.na=0,"-",_xlpm.na))</f>
        <v>-</v>
      </c>
      <c r="F56" s="47" t="str">
        <f>_xlfn.LET(_xlpm.u,COUNTIF('Question Set'!$G$272:$G$273,"Unknown"),IF(_xlpm.u=0,"-",_xlpm.u))</f>
        <v>-</v>
      </c>
      <c r="G56" s="47">
        <f>_xlfn.LET(_xlpm.n,COUNTIF('Question Set'!$G$272:$G$273,"No"),IF(_xlpm.n=0,"-",_xlpm.n))</f>
        <v>1</v>
      </c>
      <c r="H56" s="47">
        <f>_xlfn.LET(_xlpm.pl,COUNTIF('Question Set'!$G$272:$G$273,"Planned"),IF(_xlpm.pl=0,"-",_xlpm.pl))</f>
        <v>1</v>
      </c>
      <c r="I56" s="47" t="str">
        <f>_xlfn.LET(_xlpm.ip,COUNTIF('Question Set'!$G$272:$G$273,"In Progress"),IF(_xlpm.ip=0,"-",_xlpm.ip))</f>
        <v>-</v>
      </c>
      <c r="J56" s="48" t="str">
        <f>_xlfn.LET(_xlpm.y,COUNTIF('Question Set'!$G$272:$G$273,"Yes"),IF(_xlpm.y=0,"-",_xlpm.y))</f>
        <v>-</v>
      </c>
      <c r="K56" s="57">
        <f t="shared" si="9"/>
        <v>1</v>
      </c>
      <c r="L56" s="19" t="s">
        <v>592</v>
      </c>
      <c r="M56" s="29">
        <f t="shared" si="10"/>
        <v>6</v>
      </c>
    </row>
    <row r="57" spans="2:13" ht="30" customHeight="1" thickTop="1" thickBot="1" x14ac:dyDescent="0.25">
      <c r="B57" s="107"/>
      <c r="C57" s="31" t="s">
        <v>648</v>
      </c>
      <c r="D57" s="27">
        <v>1</v>
      </c>
      <c r="E57" s="40" t="str">
        <f>_xlfn.LET(_xlpm.na,COUNTIF('Question Set'!$G$276,"Not Applicable"),IF(_xlpm.na=0,"-",_xlpm.na))</f>
        <v>-</v>
      </c>
      <c r="F57" s="41" t="str">
        <f>_xlfn.LET(_xlpm.u,COUNTIF('Question Set'!$G$276,"Unknown"),IF(_xlpm.u=0,"-",_xlpm.u))</f>
        <v>-</v>
      </c>
      <c r="G57" s="41" t="str">
        <f>_xlfn.LET(_xlpm.n,COUNTIF('Question Set'!$G$276,"No"),IF(_xlpm.n=0,"-",_xlpm.n))</f>
        <v>-</v>
      </c>
      <c r="H57" s="41">
        <f>_xlfn.LET(_xlpm.pl,COUNTIF('Question Set'!$G$276,"Planned"),IF(_xlpm.pl=0,"-",_xlpm.pl))</f>
        <v>1</v>
      </c>
      <c r="I57" s="41" t="str">
        <f>_xlfn.LET(_xlpm.ip,COUNTIF('Question Set'!$G$276,"In Progress"),IF(_xlpm.ip=0,"-",_xlpm.ip))</f>
        <v>-</v>
      </c>
      <c r="J57" s="42" t="str">
        <f>_xlfn.LET(_xlpm.y,COUNTIF('Question Set'!$G$276,"Yes"),IF(_xlpm.y=0,"-",_xlpm.y))</f>
        <v>-</v>
      </c>
      <c r="K57" s="54">
        <f t="shared" si="9"/>
        <v>1</v>
      </c>
      <c r="L57" s="20" t="s">
        <v>592</v>
      </c>
      <c r="M57" s="27">
        <f t="shared" si="10"/>
        <v>3</v>
      </c>
    </row>
    <row r="58" spans="2:13" ht="30" customHeight="1" thickTop="1" thickBot="1" x14ac:dyDescent="0.25">
      <c r="B58" s="107"/>
      <c r="C58" s="31" t="s">
        <v>649</v>
      </c>
      <c r="D58" s="27">
        <v>1</v>
      </c>
      <c r="E58" s="40" t="str">
        <f>_xlfn.LET(_xlpm.na,COUNTIF('Question Set'!$G$279,"Not Applicable"),IF(_xlpm.na=0,"-",_xlpm.na))</f>
        <v>-</v>
      </c>
      <c r="F58" s="41" t="str">
        <f>_xlfn.LET(_xlpm.u,COUNTIF('Question Set'!$G$279,"Unknown"),IF(_xlpm.u=0,"-",_xlpm.u))</f>
        <v>-</v>
      </c>
      <c r="G58" s="41">
        <f>_xlfn.LET(_xlpm.n,COUNTIF('Question Set'!$G$279,"No"),IF(_xlpm.n=0,"-",_xlpm.n))</f>
        <v>1</v>
      </c>
      <c r="H58" s="41" t="str">
        <f>_xlfn.LET(_xlpm.pl,COUNTIF('Question Set'!$G$279,"Planned"),IF(_xlpm.pl=0,"-",_xlpm.pl))</f>
        <v>-</v>
      </c>
      <c r="I58" s="41" t="str">
        <f>_xlfn.LET(_xlpm.ip,COUNTIF('Question Set'!$G$279,"In Progress"),IF(_xlpm.ip=0,"-",_xlpm.ip))</f>
        <v>-</v>
      </c>
      <c r="J58" s="42" t="str">
        <f>_xlfn.LET(_xlpm.y,COUNTIF('Question Set'!$G$279,"Yes"),IF(_xlpm.y=0,"-",_xlpm.y))</f>
        <v>-</v>
      </c>
      <c r="K58" s="54">
        <f t="shared" si="9"/>
        <v>0</v>
      </c>
      <c r="L58" s="20" t="s">
        <v>592</v>
      </c>
      <c r="M58" s="27">
        <f t="shared" si="10"/>
        <v>3</v>
      </c>
    </row>
    <row r="59" spans="2:13" ht="30" customHeight="1" thickTop="1" thickBot="1" x14ac:dyDescent="0.25">
      <c r="B59" s="107"/>
      <c r="C59" s="32" t="s">
        <v>650</v>
      </c>
      <c r="D59" s="28">
        <v>3</v>
      </c>
      <c r="E59" s="43" t="str">
        <f>_xlfn.LET(_xlpm.na,COUNTIF('Question Set'!$G$282:$G$284,"Not Applicable"),IF(_xlpm.na=0,"-",_xlpm.na))</f>
        <v>-</v>
      </c>
      <c r="F59" s="44" t="str">
        <f>_xlfn.LET(_xlpm.u,COUNTIF('Question Set'!$G$282:$G$284,"Unknown"),IF(_xlpm.u=0,"-",_xlpm.u))</f>
        <v>-</v>
      </c>
      <c r="G59" s="44">
        <f>_xlfn.LET(_xlpm.n,COUNTIF('Question Set'!$G$282:$G$284,"No"),IF(_xlpm.n=0,"-",_xlpm.n))</f>
        <v>2</v>
      </c>
      <c r="H59" s="44">
        <f>_xlfn.LET(_xlpm.pl,COUNTIF('Question Set'!$G$282:$G$284,"Planned"),IF(_xlpm.pl=0,"-",_xlpm.pl))</f>
        <v>1</v>
      </c>
      <c r="I59" s="44" t="str">
        <f>_xlfn.LET(_xlpm.ip,COUNTIF('Question Set'!$G$282:$G$284,"In Progress"),IF(_xlpm.ip=0,"-",_xlpm.ip))</f>
        <v>-</v>
      </c>
      <c r="J59" s="45" t="str">
        <f>_xlfn.LET(_xlpm.y,COUNTIF('Question Set'!$G$282:$G$284,"Yes"),IF(_xlpm.y=0,"-",_xlpm.y))</f>
        <v>-</v>
      </c>
      <c r="K59" s="55">
        <f t="shared" si="9"/>
        <v>1</v>
      </c>
      <c r="L59" s="56" t="s">
        <v>592</v>
      </c>
      <c r="M59" s="28">
        <f t="shared" si="10"/>
        <v>9</v>
      </c>
    </row>
    <row r="60" spans="2:13" ht="30" customHeight="1" thickTop="1" thickBot="1" x14ac:dyDescent="0.25">
      <c r="B60" s="108"/>
      <c r="C60" s="33" t="s">
        <v>598</v>
      </c>
      <c r="D60" s="60">
        <f>SUM(D56:D59)</f>
        <v>7</v>
      </c>
      <c r="E60" s="61" t="str">
        <f t="shared" ref="E60:J60" si="15">_xlfn.LET(_xlpm.x,SUM(E56:E59),IF(_xlpm.x=0,"-",_xlpm.x))</f>
        <v>-</v>
      </c>
      <c r="F60" s="62" t="str">
        <f t="shared" si="15"/>
        <v>-</v>
      </c>
      <c r="G60" s="62">
        <f t="shared" si="15"/>
        <v>4</v>
      </c>
      <c r="H60" s="62">
        <f t="shared" si="15"/>
        <v>3</v>
      </c>
      <c r="I60" s="62" t="str">
        <f t="shared" si="15"/>
        <v>-</v>
      </c>
      <c r="J60" s="66" t="str">
        <f t="shared" si="15"/>
        <v>-</v>
      </c>
      <c r="K60" s="64">
        <f t="shared" si="9"/>
        <v>3</v>
      </c>
      <c r="L60" s="65" t="s">
        <v>592</v>
      </c>
      <c r="M60" s="60">
        <f t="shared" si="10"/>
        <v>21</v>
      </c>
    </row>
    <row r="61" spans="2:13" ht="30" customHeight="1" thickTop="1" thickBot="1" x14ac:dyDescent="0.25">
      <c r="B61" s="106" t="s">
        <v>651</v>
      </c>
      <c r="C61" s="34" t="s">
        <v>652</v>
      </c>
      <c r="D61" s="29">
        <v>4</v>
      </c>
      <c r="E61" s="46" t="str">
        <f>_xlfn.LET(_xlpm.na,COUNTIF('Question Set'!$G$288:$G$291,"Not Applicable"),IF(_xlpm.na=0,"-",_xlpm.na))</f>
        <v>-</v>
      </c>
      <c r="F61" s="47" t="str">
        <f>_xlfn.LET(_xlpm.u,COUNTIF('Question Set'!$G$288:$G$291,"Unknown"),IF(_xlpm.u=0,"-",_xlpm.u))</f>
        <v>-</v>
      </c>
      <c r="G61" s="47">
        <f>_xlfn.LET(_xlpm.n,COUNTIF('Question Set'!$G$288:$G$291,"No"),IF(_xlpm.n=0,"-",_xlpm.n))</f>
        <v>3</v>
      </c>
      <c r="H61" s="47" t="str">
        <f>_xlfn.LET(_xlpm.pl,COUNTIF('Question Set'!$G$288:$G$291,"Planned"),IF(_xlpm.pl=0,"-",_xlpm.pl))</f>
        <v>-</v>
      </c>
      <c r="I61" s="47" t="str">
        <f>_xlfn.LET(_xlpm.ip,COUNTIF('Question Set'!$G$288:$G$291,"In Progress"),IF(_xlpm.ip=0,"-",_xlpm.ip))</f>
        <v>-</v>
      </c>
      <c r="J61" s="48">
        <f>_xlfn.LET(_xlpm.y,COUNTIF('Question Set'!$G$288:$G$291,"Yes"),IF(_xlpm.y=0,"-",_xlpm.y))</f>
        <v>1</v>
      </c>
      <c r="K61" s="57">
        <f t="shared" si="9"/>
        <v>3</v>
      </c>
      <c r="L61" s="19" t="s">
        <v>592</v>
      </c>
      <c r="M61" s="29">
        <f t="shared" si="10"/>
        <v>12</v>
      </c>
    </row>
    <row r="62" spans="2:13" ht="30" customHeight="1" thickTop="1" thickBot="1" x14ac:dyDescent="0.25">
      <c r="B62" s="107"/>
      <c r="C62" s="32" t="s">
        <v>653</v>
      </c>
      <c r="D62" s="28">
        <v>2</v>
      </c>
      <c r="E62" s="43" t="str">
        <f>_xlfn.LET(_xlpm.na,COUNTIF('Question Set'!$G$294:$G$295,"Not Applicable"),IF(_xlpm.na=0,"-",_xlpm.na))</f>
        <v>-</v>
      </c>
      <c r="F62" s="44">
        <f>_xlfn.LET(_xlpm.u,COUNTIF('Question Set'!$G$294:$G$295,"Unknown"),IF(_xlpm.u=0,"-",_xlpm.u))</f>
        <v>1</v>
      </c>
      <c r="G62" s="44">
        <f>_xlfn.LET(_xlpm.n,COUNTIF('Question Set'!$G$294:$G$295,"No"),IF(_xlpm.n=0,"-",_xlpm.n))</f>
        <v>1</v>
      </c>
      <c r="H62" s="44" t="str">
        <f>_xlfn.LET(_xlpm.pl,COUNTIF('Question Set'!$G$294:$G$295,"Planned"),IF(_xlpm.pl=0,"-",_xlpm.pl))</f>
        <v>-</v>
      </c>
      <c r="I62" s="44" t="str">
        <f>_xlfn.LET(_xlpm.ip,COUNTIF('Question Set'!$G$294:$G$295,"In Progress"),IF(_xlpm.ip=0,"-",_xlpm.ip))</f>
        <v>-</v>
      </c>
      <c r="J62" s="45" t="str">
        <f>_xlfn.LET(_xlpm.y,COUNTIF('Question Set'!$G$294:$G$295,"Yes"),IF(_xlpm.y=0,"-",_xlpm.y))</f>
        <v>-</v>
      </c>
      <c r="K62" s="55">
        <f t="shared" si="9"/>
        <v>0</v>
      </c>
      <c r="L62" s="56" t="s">
        <v>592</v>
      </c>
      <c r="M62" s="28">
        <f t="shared" si="10"/>
        <v>6</v>
      </c>
    </row>
    <row r="63" spans="2:13" ht="30" customHeight="1" thickTop="1" thickBot="1" x14ac:dyDescent="0.25">
      <c r="B63" s="108"/>
      <c r="C63" s="33" t="s">
        <v>598</v>
      </c>
      <c r="D63" s="60">
        <f>SUM(D61:D62)</f>
        <v>6</v>
      </c>
      <c r="E63" s="61" t="str">
        <f t="shared" ref="E63:J63" si="16">_xlfn.LET(_xlpm.x,SUM(E61:E62),IF(_xlpm.x=0,"-",_xlpm.x))</f>
        <v>-</v>
      </c>
      <c r="F63" s="62">
        <f t="shared" si="16"/>
        <v>1</v>
      </c>
      <c r="G63" s="62">
        <f t="shared" si="16"/>
        <v>4</v>
      </c>
      <c r="H63" s="62" t="str">
        <f t="shared" si="16"/>
        <v>-</v>
      </c>
      <c r="I63" s="62" t="str">
        <f t="shared" si="16"/>
        <v>-</v>
      </c>
      <c r="J63" s="66">
        <f t="shared" si="16"/>
        <v>1</v>
      </c>
      <c r="K63" s="64">
        <f t="shared" si="9"/>
        <v>3</v>
      </c>
      <c r="L63" s="65" t="s">
        <v>592</v>
      </c>
      <c r="M63" s="60">
        <f t="shared" si="10"/>
        <v>18</v>
      </c>
    </row>
    <row r="64" spans="2:13" ht="30" customHeight="1" thickTop="1" thickBot="1" x14ac:dyDescent="0.25">
      <c r="B64" s="106" t="s">
        <v>654</v>
      </c>
      <c r="C64" s="34" t="s">
        <v>655</v>
      </c>
      <c r="D64" s="29">
        <v>5</v>
      </c>
      <c r="E64" s="46">
        <f>_xlfn.LET(_xlpm.na,COUNTIF('Question Set'!$G$299:$G$303,"Not Applicable"),IF(_xlpm.na=0,"-",_xlpm.na))</f>
        <v>1</v>
      </c>
      <c r="F64" s="47" t="str">
        <f>_xlfn.LET(_xlpm.u,COUNTIF('Question Set'!$G$299:$G$303,"Unknown"),IF(_xlpm.u=0,"-",_xlpm.u))</f>
        <v>-</v>
      </c>
      <c r="G64" s="47" t="str">
        <f>_xlfn.LET(_xlpm.n,COUNTIF('Question Set'!$G$299:$G$303,"No"),IF(_xlpm.n=0,"-",_xlpm.n))</f>
        <v>-</v>
      </c>
      <c r="H64" s="47" t="str">
        <f>_xlfn.LET(_xlpm.pl,COUNTIF('Question Set'!$G$299:$G$303,"Planned"),IF(_xlpm.pl=0,"-",_xlpm.pl))</f>
        <v>-</v>
      </c>
      <c r="I64" s="47" t="str">
        <f>_xlfn.LET(_xlpm.ip,COUNTIF('Question Set'!$G$299:$G$303,"In Progress"),IF(_xlpm.ip=0,"-",_xlpm.ip))</f>
        <v>-</v>
      </c>
      <c r="J64" s="48">
        <f>_xlfn.LET(_xlpm.y,COUNTIF('Question Set'!$G$299:$G$303,"Yes"),IF(_xlpm.y=0,"-",_xlpm.y))</f>
        <v>4</v>
      </c>
      <c r="K64" s="57">
        <f t="shared" si="9"/>
        <v>12</v>
      </c>
      <c r="L64" s="19" t="s">
        <v>592</v>
      </c>
      <c r="M64" s="29">
        <f t="shared" si="10"/>
        <v>12</v>
      </c>
    </row>
    <row r="65" spans="2:13" ht="30" customHeight="1" thickTop="1" thickBot="1" x14ac:dyDescent="0.25">
      <c r="B65" s="107"/>
      <c r="C65" s="31" t="s">
        <v>656</v>
      </c>
      <c r="D65" s="27">
        <v>3</v>
      </c>
      <c r="E65" s="40" t="str">
        <f>_xlfn.LET(_xlpm.na,COUNTIF('Question Set'!$G$306:$G$308,"Not Applicable"),IF(_xlpm.na=0,"-",_xlpm.na))</f>
        <v>-</v>
      </c>
      <c r="F65" s="41" t="str">
        <f>_xlfn.LET(_xlpm.u,COUNTIF('Question Set'!$G$306:$G$308,"Unknown"),IF(_xlpm.u=0,"-",_xlpm.u))</f>
        <v>-</v>
      </c>
      <c r="G65" s="41">
        <f>_xlfn.LET(_xlpm.n,COUNTIF('Question Set'!$G$306:$G$308,"No"),IF(_xlpm.n=0,"-",_xlpm.n))</f>
        <v>1</v>
      </c>
      <c r="H65" s="41">
        <f>_xlfn.LET(_xlpm.pl,COUNTIF('Question Set'!$G$306:$G$308,"Planned"),IF(_xlpm.pl=0,"-",_xlpm.pl))</f>
        <v>1</v>
      </c>
      <c r="I65" s="41" t="str">
        <f>_xlfn.LET(_xlpm.ip,COUNTIF('Question Set'!$G$306:$G$308,"In Progress"),IF(_xlpm.ip=0,"-",_xlpm.ip))</f>
        <v>-</v>
      </c>
      <c r="J65" s="42">
        <f>_xlfn.LET(_xlpm.y,COUNTIF('Question Set'!$G$306:$G$308,"Yes"),IF(_xlpm.y=0,"-",_xlpm.y))</f>
        <v>1</v>
      </c>
      <c r="K65" s="54">
        <f t="shared" si="9"/>
        <v>4</v>
      </c>
      <c r="L65" s="20" t="s">
        <v>592</v>
      </c>
      <c r="M65" s="27">
        <f t="shared" si="10"/>
        <v>9</v>
      </c>
    </row>
    <row r="66" spans="2:13" ht="30" customHeight="1" thickTop="1" thickBot="1" x14ac:dyDescent="0.25">
      <c r="B66" s="107"/>
      <c r="C66" s="32" t="s">
        <v>657</v>
      </c>
      <c r="D66" s="28">
        <v>3</v>
      </c>
      <c r="E66" s="43" t="str">
        <f>_xlfn.LET(_xlpm.na,COUNTIF('Question Set'!$G$311:$G$313,"Not Applicable"),IF(_xlpm.na=0,"-",_xlpm.na))</f>
        <v>-</v>
      </c>
      <c r="F66" s="44" t="str">
        <f>_xlfn.LET(_xlpm.u,COUNTIF('Question Set'!$G$311:$G$313,"Unknown"),IF(_xlpm.u=0,"-",_xlpm.u))</f>
        <v>-</v>
      </c>
      <c r="G66" s="44">
        <f>_xlfn.LET(_xlpm.n,COUNTIF('Question Set'!$G$311:$G$313,"No"),IF(_xlpm.n=0,"-",_xlpm.n))</f>
        <v>2</v>
      </c>
      <c r="H66" s="44" t="str">
        <f>_xlfn.LET(_xlpm.pl,COUNTIF('Question Set'!$G$311:$G$313,"Planned"),IF(_xlpm.pl=0,"-",_xlpm.pl))</f>
        <v>-</v>
      </c>
      <c r="I66" s="44">
        <f>_xlfn.LET(_xlpm.ip,COUNTIF('Question Set'!$G$311:$G$313,"In Progress"),IF(_xlpm.ip=0,"-",_xlpm.ip))</f>
        <v>1</v>
      </c>
      <c r="J66" s="45" t="str">
        <f>_xlfn.LET(_xlpm.y,COUNTIF('Question Set'!$G$311:$G$313,"Yes"),IF(_xlpm.y=0,"-",_xlpm.y))</f>
        <v>-</v>
      </c>
      <c r="K66" s="55">
        <f t="shared" si="9"/>
        <v>2</v>
      </c>
      <c r="L66" s="56" t="s">
        <v>592</v>
      </c>
      <c r="M66" s="28">
        <f t="shared" si="10"/>
        <v>9</v>
      </c>
    </row>
    <row r="67" spans="2:13" ht="30" customHeight="1" thickTop="1" thickBot="1" x14ac:dyDescent="0.25">
      <c r="B67" s="108"/>
      <c r="C67" s="33" t="s">
        <v>598</v>
      </c>
      <c r="D67" s="60">
        <f>SUM(D64:D66)</f>
        <v>11</v>
      </c>
      <c r="E67" s="61">
        <f t="shared" ref="E67:J67" si="17">_xlfn.LET(_xlpm.x,SUM(E64:E66),IF(_xlpm.x=0,"-",_xlpm.x))</f>
        <v>1</v>
      </c>
      <c r="F67" s="62" t="str">
        <f t="shared" si="17"/>
        <v>-</v>
      </c>
      <c r="G67" s="62">
        <f t="shared" si="17"/>
        <v>3</v>
      </c>
      <c r="H67" s="62">
        <f t="shared" si="17"/>
        <v>1</v>
      </c>
      <c r="I67" s="62">
        <f t="shared" si="17"/>
        <v>1</v>
      </c>
      <c r="J67" s="66">
        <f t="shared" si="17"/>
        <v>5</v>
      </c>
      <c r="K67" s="64">
        <f t="shared" ref="K67:K98" si="18">N(H67)+(N(I67)*2)+(N(J67)*3)</f>
        <v>18</v>
      </c>
      <c r="L67" s="65" t="s">
        <v>592</v>
      </c>
      <c r="M67" s="60">
        <f t="shared" si="10"/>
        <v>30</v>
      </c>
    </row>
    <row r="68" spans="2:13" ht="17" customHeight="1" thickTop="1" x14ac:dyDescent="0.2"/>
  </sheetData>
  <mergeCells count="13">
    <mergeCell ref="B4:B8"/>
    <mergeCell ref="B9:B15"/>
    <mergeCell ref="B36:B40"/>
    <mergeCell ref="B20:B26"/>
    <mergeCell ref="B45:B49"/>
    <mergeCell ref="B16:B19"/>
    <mergeCell ref="B27:B31"/>
    <mergeCell ref="B32:B35"/>
    <mergeCell ref="B41:B44"/>
    <mergeCell ref="B50:B55"/>
    <mergeCell ref="B61:B63"/>
    <mergeCell ref="B56:B60"/>
    <mergeCell ref="B64:B67"/>
  </mergeCells>
  <conditionalFormatting sqref="K3">
    <cfRule type="expression" dxfId="64" priority="1" stopIfTrue="1">
      <formula>AND($K$3=0,$M$3=0)</formula>
    </cfRule>
    <cfRule type="colorScale" priority="2">
      <colorScale>
        <cfvo type="num" val="0"/>
        <cfvo type="formula" val="$M$3/2"/>
        <cfvo type="formula" val="$M$3"/>
        <color rgb="FFFF0000"/>
        <color rgb="FFFFFF00"/>
        <color rgb="FF00B050"/>
      </colorScale>
    </cfRule>
  </conditionalFormatting>
  <conditionalFormatting sqref="K4">
    <cfRule type="expression" dxfId="63" priority="3" stopIfTrue="1">
      <formula>AND($K$4=0,$M$4=0)</formula>
    </cfRule>
    <cfRule type="colorScale" priority="4">
      <colorScale>
        <cfvo type="num" val="0"/>
        <cfvo type="formula" val="$M$4/2"/>
        <cfvo type="formula" val="$M$4"/>
        <color rgb="FFFF0000"/>
        <color rgb="FFFFFF00"/>
        <color rgb="FF00B050"/>
      </colorScale>
    </cfRule>
  </conditionalFormatting>
  <conditionalFormatting sqref="K5">
    <cfRule type="expression" dxfId="62" priority="5" stopIfTrue="1">
      <formula>AND($K$5=0,$M$5=0)</formula>
    </cfRule>
    <cfRule type="colorScale" priority="6">
      <colorScale>
        <cfvo type="num" val="0"/>
        <cfvo type="formula" val="$M$5/2"/>
        <cfvo type="formula" val="$M$5"/>
        <color rgb="FFFF0000"/>
        <color rgb="FFFFFF00"/>
        <color rgb="FF00B050"/>
      </colorScale>
    </cfRule>
  </conditionalFormatting>
  <conditionalFormatting sqref="K6">
    <cfRule type="expression" dxfId="61" priority="7" stopIfTrue="1">
      <formula>AND($K$6=0,$M$6=0)</formula>
    </cfRule>
    <cfRule type="colorScale" priority="8">
      <colorScale>
        <cfvo type="num" val="0"/>
        <cfvo type="formula" val="$M$6/2"/>
        <cfvo type="formula" val="$M$6"/>
        <color rgb="FFFF0000"/>
        <color rgb="FFFFFF00"/>
        <color rgb="FF00B050"/>
      </colorScale>
    </cfRule>
  </conditionalFormatting>
  <conditionalFormatting sqref="K7">
    <cfRule type="expression" dxfId="60" priority="9" stopIfTrue="1">
      <formula>AND($K$7=0,$M$7=0)</formula>
    </cfRule>
    <cfRule type="colorScale" priority="10">
      <colorScale>
        <cfvo type="num" val="0"/>
        <cfvo type="formula" val="$M$7/2"/>
        <cfvo type="formula" val="$M$7"/>
        <color rgb="FFFF0000"/>
        <color rgb="FFFFFF00"/>
        <color rgb="FF00B050"/>
      </colorScale>
    </cfRule>
  </conditionalFormatting>
  <conditionalFormatting sqref="K8">
    <cfRule type="expression" dxfId="59" priority="11" stopIfTrue="1">
      <formula>AND($K$8=0,$M$8=0)</formula>
    </cfRule>
    <cfRule type="colorScale" priority="12">
      <colorScale>
        <cfvo type="num" val="0"/>
        <cfvo type="formula" val="$M$8/2"/>
        <cfvo type="formula" val="$M$8"/>
        <color rgb="FFFF0000"/>
        <color rgb="FFFFFF00"/>
        <color rgb="FF00B050"/>
      </colorScale>
    </cfRule>
  </conditionalFormatting>
  <conditionalFormatting sqref="K9">
    <cfRule type="expression" dxfId="58" priority="13" stopIfTrue="1">
      <formula>AND($K$9=0,$M$9=0)</formula>
    </cfRule>
    <cfRule type="colorScale" priority="14">
      <colorScale>
        <cfvo type="num" val="0"/>
        <cfvo type="formula" val="$M$9/2"/>
        <cfvo type="formula" val="$M$9"/>
        <color rgb="FFFF0000"/>
        <color rgb="FFFFFF00"/>
        <color rgb="FF00B050"/>
      </colorScale>
    </cfRule>
  </conditionalFormatting>
  <conditionalFormatting sqref="K10">
    <cfRule type="expression" dxfId="57" priority="15" stopIfTrue="1">
      <formula>AND($K$10=0,$M$10=0)</formula>
    </cfRule>
    <cfRule type="colorScale" priority="16">
      <colorScale>
        <cfvo type="num" val="0"/>
        <cfvo type="formula" val="$M$10/2"/>
        <cfvo type="formula" val="$M$10"/>
        <color rgb="FFFF0000"/>
        <color rgb="FFFFFF00"/>
        <color rgb="FF00B050"/>
      </colorScale>
    </cfRule>
  </conditionalFormatting>
  <conditionalFormatting sqref="K11">
    <cfRule type="expression" dxfId="56" priority="17" stopIfTrue="1">
      <formula>AND($K$11=0,$M$11=0)</formula>
    </cfRule>
    <cfRule type="colorScale" priority="18">
      <colorScale>
        <cfvo type="num" val="0"/>
        <cfvo type="formula" val="$M$11/2"/>
        <cfvo type="formula" val="$M$11"/>
        <color rgb="FFFF0000"/>
        <color rgb="FFFFFF00"/>
        <color rgb="FF00B050"/>
      </colorScale>
    </cfRule>
  </conditionalFormatting>
  <conditionalFormatting sqref="K12">
    <cfRule type="expression" dxfId="55" priority="19" stopIfTrue="1">
      <formula>AND($K$12=0,$M$12=0)</formula>
    </cfRule>
    <cfRule type="colorScale" priority="20">
      <colorScale>
        <cfvo type="num" val="0"/>
        <cfvo type="formula" val="$M$12/2"/>
        <cfvo type="formula" val="$M$12"/>
        <color rgb="FFFF0000"/>
        <color rgb="FFFFFF00"/>
        <color rgb="FF00B050"/>
      </colorScale>
    </cfRule>
  </conditionalFormatting>
  <conditionalFormatting sqref="K13">
    <cfRule type="expression" dxfId="54" priority="21" stopIfTrue="1">
      <formula>AND($K$13=0,$M$13=0)</formula>
    </cfRule>
    <cfRule type="colorScale" priority="22">
      <colorScale>
        <cfvo type="num" val="0"/>
        <cfvo type="formula" val="$M$13/2"/>
        <cfvo type="formula" val="$M$13"/>
        <color rgb="FFFF0000"/>
        <color rgb="FFFFFF00"/>
        <color rgb="FF00B050"/>
      </colorScale>
    </cfRule>
  </conditionalFormatting>
  <conditionalFormatting sqref="K14">
    <cfRule type="expression" dxfId="53" priority="23" stopIfTrue="1">
      <formula>AND($K$14=0,$M$14=0)</formula>
    </cfRule>
    <cfRule type="colorScale" priority="24">
      <colorScale>
        <cfvo type="num" val="0"/>
        <cfvo type="formula" val="$M$14/2"/>
        <cfvo type="formula" val="$M$14"/>
        <color rgb="FFFF0000"/>
        <color rgb="FFFFFF00"/>
        <color rgb="FF00B050"/>
      </colorScale>
    </cfRule>
  </conditionalFormatting>
  <conditionalFormatting sqref="K15">
    <cfRule type="expression" dxfId="52" priority="25" stopIfTrue="1">
      <formula>AND($K$15=0,$M$15=0)</formula>
    </cfRule>
    <cfRule type="colorScale" priority="26">
      <colorScale>
        <cfvo type="num" val="0"/>
        <cfvo type="formula" val="$M$15/2"/>
        <cfvo type="formula" val="$M$15"/>
        <color rgb="FFFF0000"/>
        <color rgb="FFFFFF00"/>
        <color rgb="FF00B050"/>
      </colorScale>
    </cfRule>
  </conditionalFormatting>
  <conditionalFormatting sqref="K16">
    <cfRule type="expression" dxfId="51" priority="27" stopIfTrue="1">
      <formula>AND($K$16=0,$M$16=0)</formula>
    </cfRule>
    <cfRule type="colorScale" priority="28">
      <colorScale>
        <cfvo type="num" val="0"/>
        <cfvo type="formula" val="$M$16/2"/>
        <cfvo type="formula" val="$M$16"/>
        <color rgb="FFFF0000"/>
        <color rgb="FFFFFF00"/>
        <color rgb="FF00B050"/>
      </colorScale>
    </cfRule>
  </conditionalFormatting>
  <conditionalFormatting sqref="K17">
    <cfRule type="expression" dxfId="50" priority="29" stopIfTrue="1">
      <formula>AND($K$17=0,$M$17=0)</formula>
    </cfRule>
    <cfRule type="colorScale" priority="30">
      <colorScale>
        <cfvo type="num" val="0"/>
        <cfvo type="formula" val="$M$17/2"/>
        <cfvo type="formula" val="$M$17"/>
        <color rgb="FFFF0000"/>
        <color rgb="FFFFFF00"/>
        <color rgb="FF00B050"/>
      </colorScale>
    </cfRule>
  </conditionalFormatting>
  <conditionalFormatting sqref="K18">
    <cfRule type="expression" dxfId="49" priority="31" stopIfTrue="1">
      <formula>AND($K$18=0,$M$18=0)</formula>
    </cfRule>
    <cfRule type="colorScale" priority="32">
      <colorScale>
        <cfvo type="num" val="0"/>
        <cfvo type="formula" val="$M$18/2"/>
        <cfvo type="formula" val="$M$18"/>
        <color rgb="FFFF0000"/>
        <color rgb="FFFFFF00"/>
        <color rgb="FF00B050"/>
      </colorScale>
    </cfRule>
  </conditionalFormatting>
  <conditionalFormatting sqref="K19">
    <cfRule type="expression" dxfId="48" priority="33" stopIfTrue="1">
      <formula>AND($K$19=0,$M$19=0)</formula>
    </cfRule>
    <cfRule type="colorScale" priority="34">
      <colorScale>
        <cfvo type="num" val="0"/>
        <cfvo type="formula" val="$M$19/2"/>
        <cfvo type="formula" val="$M$19"/>
        <color rgb="FFFF0000"/>
        <color rgb="FFFFFF00"/>
        <color rgb="FF00B050"/>
      </colorScale>
    </cfRule>
  </conditionalFormatting>
  <conditionalFormatting sqref="K20">
    <cfRule type="expression" dxfId="47" priority="35" stopIfTrue="1">
      <formula>AND($K$20=0,$M$20=0)</formula>
    </cfRule>
    <cfRule type="colorScale" priority="36">
      <colorScale>
        <cfvo type="num" val="0"/>
        <cfvo type="formula" val="$M$20/2"/>
        <cfvo type="formula" val="$M$20"/>
        <color rgb="FFFF0000"/>
        <color rgb="FFFFFF00"/>
        <color rgb="FF00B050"/>
      </colorScale>
    </cfRule>
  </conditionalFormatting>
  <conditionalFormatting sqref="K21">
    <cfRule type="expression" dxfId="46" priority="37" stopIfTrue="1">
      <formula>AND($K$21=0,$M$21=0)</formula>
    </cfRule>
    <cfRule type="colorScale" priority="38">
      <colorScale>
        <cfvo type="num" val="0"/>
        <cfvo type="formula" val="$M$21/2"/>
        <cfvo type="formula" val="$M$21"/>
        <color rgb="FFFF0000"/>
        <color rgb="FFFFFF00"/>
        <color rgb="FF00B050"/>
      </colorScale>
    </cfRule>
  </conditionalFormatting>
  <conditionalFormatting sqref="K22">
    <cfRule type="expression" dxfId="45" priority="39" stopIfTrue="1">
      <formula>AND($K$22=0,$M$22=0)</formula>
    </cfRule>
    <cfRule type="colorScale" priority="40">
      <colorScale>
        <cfvo type="num" val="0"/>
        <cfvo type="formula" val="$M$22/2"/>
        <cfvo type="formula" val="$M$22"/>
        <color rgb="FFFF0000"/>
        <color rgb="FFFFFF00"/>
        <color rgb="FF00B050"/>
      </colorScale>
    </cfRule>
  </conditionalFormatting>
  <conditionalFormatting sqref="K23">
    <cfRule type="expression" dxfId="44" priority="41" stopIfTrue="1">
      <formula>AND($K$23=0,$M$23=0)</formula>
    </cfRule>
    <cfRule type="colorScale" priority="42">
      <colorScale>
        <cfvo type="num" val="0"/>
        <cfvo type="formula" val="$M$23/2"/>
        <cfvo type="formula" val="$M$23"/>
        <color rgb="FFFF0000"/>
        <color rgb="FFFFFF00"/>
        <color rgb="FF00B050"/>
      </colorScale>
    </cfRule>
  </conditionalFormatting>
  <conditionalFormatting sqref="K24">
    <cfRule type="expression" dxfId="43" priority="43" stopIfTrue="1">
      <formula>AND($K$24=0,$M$24=0)</formula>
    </cfRule>
    <cfRule type="colorScale" priority="44">
      <colorScale>
        <cfvo type="num" val="0"/>
        <cfvo type="formula" val="$M$24/2"/>
        <cfvo type="formula" val="$M$24"/>
        <color rgb="FFFF0000"/>
        <color rgb="FFFFFF00"/>
        <color rgb="FF00B050"/>
      </colorScale>
    </cfRule>
  </conditionalFormatting>
  <conditionalFormatting sqref="K25">
    <cfRule type="expression" dxfId="42" priority="45" stopIfTrue="1">
      <formula>AND($K$25=0,$M$25=0)</formula>
    </cfRule>
    <cfRule type="colorScale" priority="46">
      <colorScale>
        <cfvo type="num" val="0"/>
        <cfvo type="formula" val="$M$25/2"/>
        <cfvo type="formula" val="$M$25"/>
        <color rgb="FFFF0000"/>
        <color rgb="FFFFFF00"/>
        <color rgb="FF00B050"/>
      </colorScale>
    </cfRule>
  </conditionalFormatting>
  <conditionalFormatting sqref="K26">
    <cfRule type="expression" dxfId="41" priority="47" stopIfTrue="1">
      <formula>AND($K$26=0,$M$26=0)</formula>
    </cfRule>
    <cfRule type="colorScale" priority="48">
      <colorScale>
        <cfvo type="num" val="0"/>
        <cfvo type="formula" val="$M$26/2"/>
        <cfvo type="formula" val="$M$26"/>
        <color rgb="FFFF0000"/>
        <color rgb="FFFFFF00"/>
        <color rgb="FF00B050"/>
      </colorScale>
    </cfRule>
  </conditionalFormatting>
  <conditionalFormatting sqref="K27">
    <cfRule type="expression" dxfId="40" priority="49" stopIfTrue="1">
      <formula>AND($K$27=0,$M$27=0)</formula>
    </cfRule>
    <cfRule type="colorScale" priority="50">
      <colorScale>
        <cfvo type="num" val="0"/>
        <cfvo type="formula" val="$M$27/2"/>
        <cfvo type="formula" val="$M$27"/>
        <color rgb="FFFF0000"/>
        <color rgb="FFFFFF00"/>
        <color rgb="FF00B050"/>
      </colorScale>
    </cfRule>
  </conditionalFormatting>
  <conditionalFormatting sqref="K28">
    <cfRule type="expression" dxfId="39" priority="51" stopIfTrue="1">
      <formula>AND($K$28=0,$M$28=0)</formula>
    </cfRule>
    <cfRule type="colorScale" priority="52">
      <colorScale>
        <cfvo type="num" val="0"/>
        <cfvo type="formula" val="$M$28/2"/>
        <cfvo type="formula" val="$M$28"/>
        <color rgb="FFFF0000"/>
        <color rgb="FFFFFF00"/>
        <color rgb="FF00B050"/>
      </colorScale>
    </cfRule>
  </conditionalFormatting>
  <conditionalFormatting sqref="K29">
    <cfRule type="expression" dxfId="38" priority="53" stopIfTrue="1">
      <formula>AND($K$29=0,$M$29=0)</formula>
    </cfRule>
    <cfRule type="colorScale" priority="54">
      <colorScale>
        <cfvo type="num" val="0"/>
        <cfvo type="formula" val="$M$29/2"/>
        <cfvo type="formula" val="$M$29"/>
        <color rgb="FFFF0000"/>
        <color rgb="FFFFFF00"/>
        <color rgb="FF00B050"/>
      </colorScale>
    </cfRule>
  </conditionalFormatting>
  <conditionalFormatting sqref="K30">
    <cfRule type="expression" dxfId="37" priority="55" stopIfTrue="1">
      <formula>AND($K$30=0,$M$30=0)</formula>
    </cfRule>
    <cfRule type="colorScale" priority="56">
      <colorScale>
        <cfvo type="num" val="0"/>
        <cfvo type="formula" val="$M$30/2"/>
        <cfvo type="formula" val="$M$30"/>
        <color rgb="FFFF0000"/>
        <color rgb="FFFFFF00"/>
        <color rgb="FF00B050"/>
      </colorScale>
    </cfRule>
  </conditionalFormatting>
  <conditionalFormatting sqref="K31">
    <cfRule type="expression" dxfId="36" priority="57" stopIfTrue="1">
      <formula>AND($K$31=0,$M$31=0)</formula>
    </cfRule>
    <cfRule type="colorScale" priority="58">
      <colorScale>
        <cfvo type="num" val="0"/>
        <cfvo type="formula" val="$M$31/2"/>
        <cfvo type="formula" val="$M$31"/>
        <color rgb="FFFF0000"/>
        <color rgb="FFFFFF00"/>
        <color rgb="FF00B050"/>
      </colorScale>
    </cfRule>
  </conditionalFormatting>
  <conditionalFormatting sqref="K32">
    <cfRule type="expression" dxfId="35" priority="59" stopIfTrue="1">
      <formula>AND($K$32=0,$M$32=0)</formula>
    </cfRule>
    <cfRule type="colorScale" priority="60">
      <colorScale>
        <cfvo type="num" val="0"/>
        <cfvo type="formula" val="$M$32/2"/>
        <cfvo type="formula" val="$M$32"/>
        <color rgb="FFFF0000"/>
        <color rgb="FFFFFF00"/>
        <color rgb="FF00B050"/>
      </colorScale>
    </cfRule>
  </conditionalFormatting>
  <conditionalFormatting sqref="K33">
    <cfRule type="expression" dxfId="34" priority="61" stopIfTrue="1">
      <formula>AND($K$33=0,$M$33=0)</formula>
    </cfRule>
    <cfRule type="colorScale" priority="62">
      <colorScale>
        <cfvo type="num" val="0"/>
        <cfvo type="formula" val="$M$33/2"/>
        <cfvo type="formula" val="$M$33"/>
        <color rgb="FFFF0000"/>
        <color rgb="FFFFFF00"/>
        <color rgb="FF00B050"/>
      </colorScale>
    </cfRule>
  </conditionalFormatting>
  <conditionalFormatting sqref="K34">
    <cfRule type="expression" dxfId="33" priority="63" stopIfTrue="1">
      <formula>AND($K$34=0,$M$34=0)</formula>
    </cfRule>
    <cfRule type="colorScale" priority="64">
      <colorScale>
        <cfvo type="num" val="0"/>
        <cfvo type="formula" val="$M$34/2"/>
        <cfvo type="formula" val="$M$34"/>
        <color rgb="FFFF0000"/>
        <color rgb="FFFFFF00"/>
        <color rgb="FF00B050"/>
      </colorScale>
    </cfRule>
  </conditionalFormatting>
  <conditionalFormatting sqref="K35">
    <cfRule type="colorScale" priority="97">
      <colorScale>
        <cfvo type="num" val="0"/>
        <cfvo type="formula" val="$M$35/2"/>
        <cfvo type="formula" val="$M$35"/>
        <color rgb="FFFF0000"/>
        <color rgb="FFFFFF00"/>
        <color rgb="FF00B050"/>
      </colorScale>
    </cfRule>
    <cfRule type="expression" dxfId="32" priority="65" stopIfTrue="1">
      <formula>AND($K$35=0,$M$35=0)</formula>
    </cfRule>
  </conditionalFormatting>
  <conditionalFormatting sqref="K36">
    <cfRule type="expression" dxfId="31" priority="98" stopIfTrue="1">
      <formula>AND($K$36=0,$M$36=0)</formula>
    </cfRule>
    <cfRule type="colorScale" priority="99">
      <colorScale>
        <cfvo type="num" val="0"/>
        <cfvo type="formula" val="$M$36/2"/>
        <cfvo type="formula" val="$M$36"/>
        <color rgb="FFFF0000"/>
        <color rgb="FFFFFF00"/>
        <color rgb="FF00B050"/>
      </colorScale>
    </cfRule>
  </conditionalFormatting>
  <conditionalFormatting sqref="K37">
    <cfRule type="expression" dxfId="30" priority="100" stopIfTrue="1">
      <formula>AND($K$37=0,$M$37=0)</formula>
    </cfRule>
    <cfRule type="colorScale" priority="101">
      <colorScale>
        <cfvo type="num" val="0"/>
        <cfvo type="formula" val="$M$37/2"/>
        <cfvo type="formula" val="$M$37"/>
        <color rgb="FFFF0000"/>
        <color rgb="FFFFFF00"/>
        <color rgb="FF00B050"/>
      </colorScale>
    </cfRule>
  </conditionalFormatting>
  <conditionalFormatting sqref="K38">
    <cfRule type="expression" dxfId="29" priority="102" stopIfTrue="1">
      <formula>AND($K$38=0,$M$38=0)</formula>
    </cfRule>
    <cfRule type="colorScale" priority="103">
      <colorScale>
        <cfvo type="num" val="0"/>
        <cfvo type="formula" val="$M$38/2"/>
        <cfvo type="formula" val="$M$38"/>
        <color rgb="FFFF0000"/>
        <color rgb="FFFFFF00"/>
        <color rgb="FF00B050"/>
      </colorScale>
    </cfRule>
  </conditionalFormatting>
  <conditionalFormatting sqref="K39">
    <cfRule type="expression" dxfId="28" priority="104" stopIfTrue="1">
      <formula>AND($K$39=0,$M$39=0)</formula>
    </cfRule>
    <cfRule type="colorScale" priority="105">
      <colorScale>
        <cfvo type="num" val="0"/>
        <cfvo type="formula" val="$M$39/2"/>
        <cfvo type="formula" val="$M$39"/>
        <color rgb="FFFF0000"/>
        <color rgb="FFFFFF00"/>
        <color rgb="FF00B050"/>
      </colorScale>
    </cfRule>
  </conditionalFormatting>
  <conditionalFormatting sqref="K40">
    <cfRule type="expression" dxfId="27" priority="106" stopIfTrue="1">
      <formula>AND($K$40=0,$M$40=0)</formula>
    </cfRule>
    <cfRule type="colorScale" priority="107">
      <colorScale>
        <cfvo type="num" val="0"/>
        <cfvo type="formula" val="$M$40/2"/>
        <cfvo type="formula" val="$M$40"/>
        <color rgb="FFFF0000"/>
        <color rgb="FFFFFF00"/>
        <color rgb="FF00B050"/>
      </colorScale>
    </cfRule>
  </conditionalFormatting>
  <conditionalFormatting sqref="K41">
    <cfRule type="expression" dxfId="26" priority="108" stopIfTrue="1">
      <formula>AND($K$41=0,$M$41=0)</formula>
    </cfRule>
    <cfRule type="colorScale" priority="109">
      <colorScale>
        <cfvo type="num" val="0"/>
        <cfvo type="formula" val="$M$41/2"/>
        <cfvo type="formula" val="$M$41"/>
        <color rgb="FFFF0000"/>
        <color rgb="FFFFFF00"/>
        <color rgb="FF00B050"/>
      </colorScale>
    </cfRule>
  </conditionalFormatting>
  <conditionalFormatting sqref="K42">
    <cfRule type="expression" dxfId="25" priority="110" stopIfTrue="1">
      <formula>AND($K$42=0,$M$42=0)</formula>
    </cfRule>
    <cfRule type="colorScale" priority="111">
      <colorScale>
        <cfvo type="num" val="0"/>
        <cfvo type="formula" val="$M$42/2"/>
        <cfvo type="formula" val="$M$42"/>
        <color rgb="FFFF0000"/>
        <color rgb="FFFFFF00"/>
        <color rgb="FF00B050"/>
      </colorScale>
    </cfRule>
  </conditionalFormatting>
  <conditionalFormatting sqref="K43">
    <cfRule type="expression" dxfId="24" priority="112" stopIfTrue="1">
      <formula>AND($K$43=0,$M$43=0)</formula>
    </cfRule>
    <cfRule type="colorScale" priority="113">
      <colorScale>
        <cfvo type="num" val="0"/>
        <cfvo type="formula" val="$M$43/2"/>
        <cfvo type="formula" val="$M$43"/>
        <color rgb="FFFF0000"/>
        <color rgb="FFFFFF00"/>
        <color rgb="FF00B050"/>
      </colorScale>
    </cfRule>
  </conditionalFormatting>
  <conditionalFormatting sqref="K44">
    <cfRule type="expression" dxfId="23" priority="114" stopIfTrue="1">
      <formula>AND($K$44=0,$M$44=0)</formula>
    </cfRule>
    <cfRule type="colorScale" priority="115">
      <colorScale>
        <cfvo type="num" val="0"/>
        <cfvo type="formula" val="$M$44/2"/>
        <cfvo type="formula" val="$M$44"/>
        <color rgb="FFFF0000"/>
        <color rgb="FFFFFF00"/>
        <color rgb="FF00B050"/>
      </colorScale>
    </cfRule>
  </conditionalFormatting>
  <conditionalFormatting sqref="K45">
    <cfRule type="expression" dxfId="22" priority="116" stopIfTrue="1">
      <formula>AND($K$45=0,$M$45=0)</formula>
    </cfRule>
    <cfRule type="colorScale" priority="117">
      <colorScale>
        <cfvo type="num" val="0"/>
        <cfvo type="formula" val="$M$45/2"/>
        <cfvo type="formula" val="$M$45"/>
        <color rgb="FFFF0000"/>
        <color rgb="FFFFFF00"/>
        <color rgb="FF00B050"/>
      </colorScale>
    </cfRule>
  </conditionalFormatting>
  <conditionalFormatting sqref="K46">
    <cfRule type="expression" dxfId="21" priority="118" stopIfTrue="1">
      <formula>AND($K$46=0,$M$46=0)</formula>
    </cfRule>
    <cfRule type="colorScale" priority="119">
      <colorScale>
        <cfvo type="num" val="0"/>
        <cfvo type="formula" val="$M$46/2"/>
        <cfvo type="formula" val="$M$46"/>
        <color rgb="FFFF0000"/>
        <color rgb="FFFFFF00"/>
        <color rgb="FF00B050"/>
      </colorScale>
    </cfRule>
  </conditionalFormatting>
  <conditionalFormatting sqref="K47">
    <cfRule type="expression" dxfId="20" priority="120" stopIfTrue="1">
      <formula>AND($K$47=0,$M$47=0)</formula>
    </cfRule>
    <cfRule type="colorScale" priority="121">
      <colorScale>
        <cfvo type="num" val="0"/>
        <cfvo type="formula" val="$M$47/2"/>
        <cfvo type="formula" val="$M$47"/>
        <color rgb="FFFF0000"/>
        <color rgb="FFFFFF00"/>
        <color rgb="FF00B050"/>
      </colorScale>
    </cfRule>
  </conditionalFormatting>
  <conditionalFormatting sqref="K48">
    <cfRule type="expression" dxfId="19" priority="122" stopIfTrue="1">
      <formula>AND($K$48=0,$M$48=0)</formula>
    </cfRule>
    <cfRule type="colorScale" priority="123">
      <colorScale>
        <cfvo type="num" val="0"/>
        <cfvo type="formula" val="$M$48/2"/>
        <cfvo type="formula" val="$M$48"/>
        <color rgb="FFFF0000"/>
        <color rgb="FFFFFF00"/>
        <color rgb="FF00B050"/>
      </colorScale>
    </cfRule>
  </conditionalFormatting>
  <conditionalFormatting sqref="K49">
    <cfRule type="expression" dxfId="18" priority="124" stopIfTrue="1">
      <formula>AND($K$49=0,$M$49=0)</formula>
    </cfRule>
    <cfRule type="colorScale" priority="125">
      <colorScale>
        <cfvo type="num" val="0"/>
        <cfvo type="formula" val="$M$49/2"/>
        <cfvo type="formula" val="$M$49"/>
        <color rgb="FFFF0000"/>
        <color rgb="FFFFFF00"/>
        <color rgb="FF00B050"/>
      </colorScale>
    </cfRule>
  </conditionalFormatting>
  <conditionalFormatting sqref="K50">
    <cfRule type="expression" dxfId="17" priority="126" stopIfTrue="1">
      <formula>AND($K$50=0,$M$50=0)</formula>
    </cfRule>
    <cfRule type="colorScale" priority="127">
      <colorScale>
        <cfvo type="num" val="0"/>
        <cfvo type="formula" val="$M$50/2"/>
        <cfvo type="formula" val="$M$50"/>
        <color rgb="FFFF0000"/>
        <color rgb="FFFFFF00"/>
        <color rgb="FF00B050"/>
      </colorScale>
    </cfRule>
  </conditionalFormatting>
  <conditionalFormatting sqref="K51">
    <cfRule type="colorScale" priority="129">
      <colorScale>
        <cfvo type="num" val="0"/>
        <cfvo type="formula" val="$M$51/2"/>
        <cfvo type="formula" val="$M$51"/>
        <color rgb="FFFF0000"/>
        <color rgb="FFFFFF00"/>
        <color rgb="FF00B050"/>
      </colorScale>
    </cfRule>
    <cfRule type="expression" dxfId="16" priority="128" stopIfTrue="1">
      <formula>AND($K$51=0,$M$51=0)</formula>
    </cfRule>
  </conditionalFormatting>
  <conditionalFormatting sqref="K52">
    <cfRule type="expression" dxfId="15" priority="130" stopIfTrue="1">
      <formula>AND($K$52=0,$M$52=0)</formula>
    </cfRule>
    <cfRule type="colorScale" priority="131">
      <colorScale>
        <cfvo type="num" val="0"/>
        <cfvo type="formula" val="$M$52/2"/>
        <cfvo type="formula" val="$M$52"/>
        <color rgb="FFFF0000"/>
        <color rgb="FFFFFF00"/>
        <color rgb="FF00B050"/>
      </colorScale>
    </cfRule>
  </conditionalFormatting>
  <conditionalFormatting sqref="K53">
    <cfRule type="expression" dxfId="14" priority="132" stopIfTrue="1">
      <formula>AND($K$53=0,$M$53=0)</formula>
    </cfRule>
    <cfRule type="colorScale" priority="133">
      <colorScale>
        <cfvo type="num" val="0"/>
        <cfvo type="formula" val="$M$53/2"/>
        <cfvo type="formula" val="$M$53"/>
        <color rgb="FFFF0000"/>
        <color rgb="FFFFFF00"/>
        <color rgb="FF00B050"/>
      </colorScale>
    </cfRule>
  </conditionalFormatting>
  <conditionalFormatting sqref="K54">
    <cfRule type="expression" dxfId="13" priority="134" stopIfTrue="1">
      <formula>AND($K$54=0,$M$54=0)</formula>
    </cfRule>
    <cfRule type="colorScale" priority="135">
      <colorScale>
        <cfvo type="num" val="0"/>
        <cfvo type="formula" val="$M$54/2"/>
        <cfvo type="formula" val="$M$54"/>
        <color rgb="FFFF0000"/>
        <color rgb="FFFFFF00"/>
        <color rgb="FF00B050"/>
      </colorScale>
    </cfRule>
  </conditionalFormatting>
  <conditionalFormatting sqref="K55">
    <cfRule type="expression" dxfId="12" priority="136" stopIfTrue="1">
      <formula>AND($K$55=0,$M$55=0)</formula>
    </cfRule>
    <cfRule type="colorScale" priority="137">
      <colorScale>
        <cfvo type="num" val="0"/>
        <cfvo type="formula" val="$M$55/2"/>
        <cfvo type="formula" val="$M$55"/>
        <color rgb="FFFF0000"/>
        <color rgb="FFFFFF00"/>
        <color rgb="FF00B050"/>
      </colorScale>
    </cfRule>
  </conditionalFormatting>
  <conditionalFormatting sqref="K56">
    <cfRule type="expression" dxfId="11" priority="138" stopIfTrue="1">
      <formula>AND($K$56=0,$M$56=0)</formula>
    </cfRule>
    <cfRule type="colorScale" priority="139">
      <colorScale>
        <cfvo type="num" val="0"/>
        <cfvo type="formula" val="$M$56/2"/>
        <cfvo type="formula" val="$M$56"/>
        <color rgb="FFFF0000"/>
        <color rgb="FFFFFF00"/>
        <color rgb="FF00B050"/>
      </colorScale>
    </cfRule>
  </conditionalFormatting>
  <conditionalFormatting sqref="K57">
    <cfRule type="expression" dxfId="10" priority="140" stopIfTrue="1">
      <formula>AND($K$57=0,$M$57=0)</formula>
    </cfRule>
    <cfRule type="colorScale" priority="141">
      <colorScale>
        <cfvo type="num" val="0"/>
        <cfvo type="formula" val="$M$57/2"/>
        <cfvo type="formula" val="$M$57"/>
        <color rgb="FFFF0000"/>
        <color rgb="FFFFFF00"/>
        <color rgb="FF00B050"/>
      </colorScale>
    </cfRule>
  </conditionalFormatting>
  <conditionalFormatting sqref="K58">
    <cfRule type="expression" dxfId="9" priority="142" stopIfTrue="1">
      <formula>AND($K$58=0,$M$58=0)</formula>
    </cfRule>
    <cfRule type="colorScale" priority="143">
      <colorScale>
        <cfvo type="num" val="0"/>
        <cfvo type="formula" val="$M$58/2"/>
        <cfvo type="formula" val="$M$58"/>
        <color rgb="FFFF0000"/>
        <color rgb="FFFFFF00"/>
        <color rgb="FF00B050"/>
      </colorScale>
    </cfRule>
  </conditionalFormatting>
  <conditionalFormatting sqref="K59">
    <cfRule type="colorScale" priority="145">
      <colorScale>
        <cfvo type="num" val="0"/>
        <cfvo type="formula" val="$M$59/2"/>
        <cfvo type="formula" val="$M$59"/>
        <color rgb="FFFF0000"/>
        <color rgb="FFFFFF00"/>
        <color rgb="FF00B050"/>
      </colorScale>
    </cfRule>
    <cfRule type="expression" dxfId="8" priority="144" stopIfTrue="1">
      <formula>AND($K$59=0,$M$59=0)</formula>
    </cfRule>
  </conditionalFormatting>
  <conditionalFormatting sqref="K60">
    <cfRule type="expression" dxfId="7" priority="146" stopIfTrue="1">
      <formula>AND($K$60=0,$M$60=0)</formula>
    </cfRule>
    <cfRule type="colorScale" priority="147">
      <colorScale>
        <cfvo type="num" val="0"/>
        <cfvo type="formula" val="$M$60/2"/>
        <cfvo type="formula" val="$M$60"/>
        <color rgb="FFFF0000"/>
        <color rgb="FFFFFF00"/>
        <color rgb="FF00B050"/>
      </colorScale>
    </cfRule>
  </conditionalFormatting>
  <conditionalFormatting sqref="K61">
    <cfRule type="expression" dxfId="6" priority="148" stopIfTrue="1">
      <formula>AND($K$61=0,$M$61=0)</formula>
    </cfRule>
    <cfRule type="colorScale" priority="149">
      <colorScale>
        <cfvo type="num" val="0"/>
        <cfvo type="formula" val="$M$61/2"/>
        <cfvo type="formula" val="$M$61"/>
        <color rgb="FFFF0000"/>
        <color rgb="FFFFFF00"/>
        <color rgb="FF00B050"/>
      </colorScale>
    </cfRule>
  </conditionalFormatting>
  <conditionalFormatting sqref="K62">
    <cfRule type="expression" dxfId="5" priority="150" stopIfTrue="1">
      <formula>AND($K$62=0,$M$62=0)</formula>
    </cfRule>
    <cfRule type="colorScale" priority="151">
      <colorScale>
        <cfvo type="num" val="0"/>
        <cfvo type="formula" val="$M$62/2"/>
        <cfvo type="formula" val="$M$62"/>
        <color rgb="FFFF0000"/>
        <color rgb="FFFFFF00"/>
        <color rgb="FF00B050"/>
      </colorScale>
    </cfRule>
  </conditionalFormatting>
  <conditionalFormatting sqref="K63">
    <cfRule type="expression" dxfId="4" priority="152" stopIfTrue="1">
      <formula>AND($K$63=0,$M$63=0)</formula>
    </cfRule>
    <cfRule type="colorScale" priority="153">
      <colorScale>
        <cfvo type="num" val="0"/>
        <cfvo type="formula" val="$M$63/2"/>
        <cfvo type="formula" val="$M$63"/>
        <color rgb="FFFF0000"/>
        <color rgb="FFFFFF00"/>
        <color rgb="FF00B050"/>
      </colorScale>
    </cfRule>
  </conditionalFormatting>
  <conditionalFormatting sqref="K64">
    <cfRule type="expression" dxfId="3" priority="154" stopIfTrue="1">
      <formula>AND($K$64=0,$M$64=0)</formula>
    </cfRule>
    <cfRule type="colorScale" priority="155">
      <colorScale>
        <cfvo type="num" val="0"/>
        <cfvo type="formula" val="$M$64/2"/>
        <cfvo type="formula" val="$M$64"/>
        <color rgb="FFFF0000"/>
        <color rgb="FFFFFF00"/>
        <color rgb="FF00B050"/>
      </colorScale>
    </cfRule>
  </conditionalFormatting>
  <conditionalFormatting sqref="K65">
    <cfRule type="expression" dxfId="2" priority="156" stopIfTrue="1">
      <formula>AND($K$65=0,$M$65=0)</formula>
    </cfRule>
    <cfRule type="colorScale" priority="157">
      <colorScale>
        <cfvo type="num" val="0"/>
        <cfvo type="formula" val="$M$65/2"/>
        <cfvo type="formula" val="$M$65"/>
        <color rgb="FFFF0000"/>
        <color rgb="FFFFFF00"/>
        <color rgb="FF00B050"/>
      </colorScale>
    </cfRule>
  </conditionalFormatting>
  <conditionalFormatting sqref="K66">
    <cfRule type="expression" dxfId="1" priority="158" stopIfTrue="1">
      <formula>AND($K$66=0,$M$66=0)</formula>
    </cfRule>
    <cfRule type="colorScale" priority="159">
      <colorScale>
        <cfvo type="num" val="0"/>
        <cfvo type="formula" val="$M$66/2"/>
        <cfvo type="formula" val="$M$66"/>
        <color rgb="FFFF0000"/>
        <color rgb="FFFFFF00"/>
        <color rgb="FF00B050"/>
      </colorScale>
    </cfRule>
  </conditionalFormatting>
  <conditionalFormatting sqref="K67">
    <cfRule type="expression" dxfId="0" priority="160">
      <formula>AND($K$67=0,$M$67=0)</formula>
    </cfRule>
    <cfRule type="colorScale" priority="161">
      <colorScale>
        <cfvo type="num" val="0"/>
        <cfvo type="formula" val="$M$67/2"/>
        <cfvo type="formula" val="$M$67"/>
        <color rgb="FFFF0000"/>
        <color rgb="FFFFFF00"/>
        <color rgb="FF00B050"/>
      </colorScale>
    </cfRule>
  </conditionalFormatting>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K16"/>
  <sheetViews>
    <sheetView workbookViewId="0"/>
  </sheetViews>
  <sheetFormatPr baseColWidth="10" defaultRowHeight="16" x14ac:dyDescent="0.2"/>
  <cols>
    <col min="1" max="1" width="3.33203125" customWidth="1"/>
    <col min="2" max="2" width="55" bestFit="1" customWidth="1"/>
    <col min="3" max="3" width="17.1640625" customWidth="1"/>
    <col min="4" max="8" width="14.83203125" customWidth="1"/>
  </cols>
  <sheetData>
    <row r="2" spans="2:11" ht="20" customHeight="1" x14ac:dyDescent="0.2">
      <c r="B2" s="21" t="s">
        <v>658</v>
      </c>
      <c r="C2" s="35" t="s">
        <v>582</v>
      </c>
      <c r="D2" s="35" t="s">
        <v>583</v>
      </c>
      <c r="E2" s="35" t="s">
        <v>659</v>
      </c>
      <c r="F2" s="35" t="s">
        <v>660</v>
      </c>
      <c r="G2" s="35" t="s">
        <v>661</v>
      </c>
      <c r="H2" s="35" t="s">
        <v>662</v>
      </c>
      <c r="I2" s="35" t="s">
        <v>663</v>
      </c>
      <c r="J2" s="35" t="s">
        <v>664</v>
      </c>
      <c r="K2" s="35" t="s">
        <v>665</v>
      </c>
    </row>
    <row r="3" spans="2:11" ht="20" customHeight="1" x14ac:dyDescent="0.2">
      <c r="B3" s="24" t="s">
        <v>666</v>
      </c>
      <c r="C3" s="21" t="str">
        <f>'Full Score Table'!E8</f>
        <v>-</v>
      </c>
      <c r="D3" s="21" t="str">
        <f>'Full Score Table'!F8</f>
        <v>-</v>
      </c>
      <c r="E3" s="21">
        <f>'Full Score Table'!G8</f>
        <v>7</v>
      </c>
      <c r="F3" s="21">
        <f>'Full Score Table'!H8</f>
        <v>1</v>
      </c>
      <c r="G3" s="21">
        <f>'Full Score Table'!I8</f>
        <v>2</v>
      </c>
      <c r="H3" s="21">
        <f>'Full Score Table'!J8</f>
        <v>6</v>
      </c>
      <c r="I3" s="95">
        <f>'Full Score Table'!K8</f>
        <v>23</v>
      </c>
      <c r="J3" s="36" t="s">
        <v>592</v>
      </c>
      <c r="K3" s="95">
        <f>'Full Score Table'!M8</f>
        <v>48</v>
      </c>
    </row>
    <row r="4" spans="2:11" ht="20" customHeight="1" x14ac:dyDescent="0.2">
      <c r="B4" s="24" t="s">
        <v>667</v>
      </c>
      <c r="C4" s="21" t="str">
        <f>'Full Score Table'!E15</f>
        <v>-</v>
      </c>
      <c r="D4" s="21">
        <f>'Full Score Table'!F15</f>
        <v>1</v>
      </c>
      <c r="E4" s="21">
        <f>'Full Score Table'!G15</f>
        <v>9</v>
      </c>
      <c r="F4" s="21" t="str">
        <f>'Full Score Table'!H15</f>
        <v>-</v>
      </c>
      <c r="G4" s="21">
        <f>'Full Score Table'!I15</f>
        <v>13</v>
      </c>
      <c r="H4" s="21">
        <f>'Full Score Table'!J15</f>
        <v>7</v>
      </c>
      <c r="I4" s="95">
        <f>'Full Score Table'!K15</f>
        <v>47</v>
      </c>
      <c r="J4" s="36" t="s">
        <v>592</v>
      </c>
      <c r="K4" s="95">
        <f>'Full Score Table'!M15</f>
        <v>90</v>
      </c>
    </row>
    <row r="5" spans="2:11" ht="20" customHeight="1" x14ac:dyDescent="0.2">
      <c r="B5" s="24" t="s">
        <v>668</v>
      </c>
      <c r="C5" s="21" t="str">
        <f>'Full Score Table'!E19</f>
        <v>-</v>
      </c>
      <c r="D5" s="21" t="str">
        <f>'Full Score Table'!F19</f>
        <v>-</v>
      </c>
      <c r="E5" s="21">
        <f>'Full Score Table'!G19</f>
        <v>3</v>
      </c>
      <c r="F5" s="21">
        <f>'Full Score Table'!H19</f>
        <v>2</v>
      </c>
      <c r="G5" s="21">
        <f>'Full Score Table'!I19</f>
        <v>5</v>
      </c>
      <c r="H5" s="21">
        <f>'Full Score Table'!J19</f>
        <v>2</v>
      </c>
      <c r="I5" s="95">
        <f>'Full Score Table'!K19</f>
        <v>18</v>
      </c>
      <c r="J5" s="36" t="s">
        <v>592</v>
      </c>
      <c r="K5" s="95">
        <f>'Full Score Table'!M19</f>
        <v>36</v>
      </c>
    </row>
    <row r="6" spans="2:11" ht="20" customHeight="1" x14ac:dyDescent="0.2">
      <c r="B6" s="24" t="s">
        <v>669</v>
      </c>
      <c r="C6" s="21">
        <f>'Full Score Table'!E26</f>
        <v>2</v>
      </c>
      <c r="D6" s="21">
        <f>'Full Score Table'!F26</f>
        <v>3</v>
      </c>
      <c r="E6" s="21">
        <f>'Full Score Table'!G26</f>
        <v>8</v>
      </c>
      <c r="F6" s="21">
        <f>'Full Score Table'!H26</f>
        <v>3</v>
      </c>
      <c r="G6" s="21">
        <f>'Full Score Table'!I26</f>
        <v>9</v>
      </c>
      <c r="H6" s="21">
        <f>'Full Score Table'!J26</f>
        <v>4</v>
      </c>
      <c r="I6" s="95">
        <f>'Full Score Table'!K26</f>
        <v>33</v>
      </c>
      <c r="J6" s="36" t="s">
        <v>592</v>
      </c>
      <c r="K6" s="95">
        <f>'Full Score Table'!M26</f>
        <v>81</v>
      </c>
    </row>
    <row r="7" spans="2:11" ht="20" customHeight="1" x14ac:dyDescent="0.2">
      <c r="B7" s="24" t="s">
        <v>670</v>
      </c>
      <c r="C7" s="21">
        <f>'Full Score Table'!E31</f>
        <v>3</v>
      </c>
      <c r="D7" s="21" t="str">
        <f>'Full Score Table'!F31</f>
        <v>-</v>
      </c>
      <c r="E7" s="21">
        <f>'Full Score Table'!G31</f>
        <v>8</v>
      </c>
      <c r="F7" s="21">
        <f>'Full Score Table'!H31</f>
        <v>1</v>
      </c>
      <c r="G7" s="21">
        <f>'Full Score Table'!I31</f>
        <v>1</v>
      </c>
      <c r="H7" s="21">
        <f>'Full Score Table'!J31</f>
        <v>6</v>
      </c>
      <c r="I7" s="95">
        <f>'Full Score Table'!K31</f>
        <v>21</v>
      </c>
      <c r="J7" s="36" t="s">
        <v>592</v>
      </c>
      <c r="K7" s="95">
        <f>'Full Score Table'!M31</f>
        <v>48</v>
      </c>
    </row>
    <row r="8" spans="2:11" ht="20" customHeight="1" x14ac:dyDescent="0.2">
      <c r="B8" s="24" t="s">
        <v>622</v>
      </c>
      <c r="C8" s="21">
        <f>'Full Score Table'!E35</f>
        <v>1</v>
      </c>
      <c r="D8" s="21">
        <f>'Full Score Table'!F35</f>
        <v>1</v>
      </c>
      <c r="E8" s="21">
        <f>'Full Score Table'!G35</f>
        <v>8</v>
      </c>
      <c r="F8" s="21" t="str">
        <f>'Full Score Table'!H35</f>
        <v>-</v>
      </c>
      <c r="G8" s="21" t="str">
        <f>'Full Score Table'!I35</f>
        <v>-</v>
      </c>
      <c r="H8" s="21" t="str">
        <f>'Full Score Table'!J35</f>
        <v>-</v>
      </c>
      <c r="I8" s="95">
        <f>'Full Score Table'!K35</f>
        <v>0</v>
      </c>
      <c r="J8" s="36" t="s">
        <v>592</v>
      </c>
      <c r="K8" s="95">
        <f>'Full Score Table'!M35</f>
        <v>27</v>
      </c>
    </row>
    <row r="9" spans="2:11" ht="20" customHeight="1" x14ac:dyDescent="0.2">
      <c r="B9" s="24" t="s">
        <v>671</v>
      </c>
      <c r="C9" s="21" t="str">
        <f>'Full Score Table'!E40</f>
        <v>-</v>
      </c>
      <c r="D9" s="21" t="str">
        <f>'Full Score Table'!F40</f>
        <v>-</v>
      </c>
      <c r="E9" s="21">
        <f>'Full Score Table'!G40</f>
        <v>9</v>
      </c>
      <c r="F9" s="21" t="str">
        <f>'Full Score Table'!H40</f>
        <v>-</v>
      </c>
      <c r="G9" s="21">
        <f>'Full Score Table'!I40</f>
        <v>6</v>
      </c>
      <c r="H9" s="21" t="str">
        <f>'Full Score Table'!J40</f>
        <v>-</v>
      </c>
      <c r="I9" s="95">
        <f>'Full Score Table'!K40</f>
        <v>12</v>
      </c>
      <c r="J9" s="36" t="s">
        <v>592</v>
      </c>
      <c r="K9" s="95">
        <f>'Full Score Table'!M40</f>
        <v>45</v>
      </c>
    </row>
    <row r="10" spans="2:11" ht="20" customHeight="1" x14ac:dyDescent="0.2">
      <c r="B10" s="24" t="s">
        <v>672</v>
      </c>
      <c r="C10" s="21" t="str">
        <f>'Full Score Table'!E44</f>
        <v>-</v>
      </c>
      <c r="D10" s="21" t="str">
        <f>'Full Score Table'!F44</f>
        <v>-</v>
      </c>
      <c r="E10" s="21">
        <f>'Full Score Table'!G44</f>
        <v>2</v>
      </c>
      <c r="F10" s="21">
        <f>'Full Score Table'!H44</f>
        <v>2</v>
      </c>
      <c r="G10" s="21">
        <f>'Full Score Table'!I44</f>
        <v>4</v>
      </c>
      <c r="H10" s="21">
        <f>'Full Score Table'!J44</f>
        <v>2</v>
      </c>
      <c r="I10" s="95">
        <f>'Full Score Table'!K44</f>
        <v>16</v>
      </c>
      <c r="J10" s="36" t="s">
        <v>592</v>
      </c>
      <c r="K10" s="95">
        <f>'Full Score Table'!M44</f>
        <v>30</v>
      </c>
    </row>
    <row r="11" spans="2:11" ht="20" customHeight="1" x14ac:dyDescent="0.2">
      <c r="B11" s="24" t="s">
        <v>635</v>
      </c>
      <c r="C11" s="21">
        <f>'Full Score Table'!E49</f>
        <v>1</v>
      </c>
      <c r="D11" s="21">
        <f>'Full Score Table'!F49</f>
        <v>1</v>
      </c>
      <c r="E11" s="21" t="str">
        <f>'Full Score Table'!G49</f>
        <v>-</v>
      </c>
      <c r="F11" s="21">
        <f>'Full Score Table'!H49</f>
        <v>2</v>
      </c>
      <c r="G11" s="21">
        <f>'Full Score Table'!I49</f>
        <v>10</v>
      </c>
      <c r="H11" s="21">
        <f>'Full Score Table'!J49</f>
        <v>1</v>
      </c>
      <c r="I11" s="95">
        <f>'Full Score Table'!K49</f>
        <v>25</v>
      </c>
      <c r="J11" s="36" t="s">
        <v>592</v>
      </c>
      <c r="K11" s="95">
        <f>'Full Score Table'!M49</f>
        <v>42</v>
      </c>
    </row>
    <row r="12" spans="2:11" ht="20" customHeight="1" x14ac:dyDescent="0.2">
      <c r="B12" s="24" t="s">
        <v>640</v>
      </c>
      <c r="C12" s="21">
        <f>'Full Score Table'!E55</f>
        <v>1</v>
      </c>
      <c r="D12" s="21" t="str">
        <f>'Full Score Table'!F55</f>
        <v>-</v>
      </c>
      <c r="E12" s="21">
        <f>'Full Score Table'!G55</f>
        <v>7</v>
      </c>
      <c r="F12" s="21" t="str">
        <f>'Full Score Table'!H55</f>
        <v>-</v>
      </c>
      <c r="G12" s="21">
        <f>'Full Score Table'!I55</f>
        <v>4</v>
      </c>
      <c r="H12" s="21">
        <f>'Full Score Table'!J55</f>
        <v>6</v>
      </c>
      <c r="I12" s="95">
        <f>'Full Score Table'!K55</f>
        <v>26</v>
      </c>
      <c r="J12" s="36" t="s">
        <v>592</v>
      </c>
      <c r="K12" s="95">
        <f>'Full Score Table'!M55</f>
        <v>51</v>
      </c>
    </row>
    <row r="13" spans="2:11" ht="20" customHeight="1" x14ac:dyDescent="0.2">
      <c r="B13" s="24" t="s">
        <v>646</v>
      </c>
      <c r="C13" s="21" t="str">
        <f>'Full Score Table'!E60</f>
        <v>-</v>
      </c>
      <c r="D13" s="21" t="str">
        <f>'Full Score Table'!F60</f>
        <v>-</v>
      </c>
      <c r="E13" s="21">
        <f>'Full Score Table'!G60</f>
        <v>4</v>
      </c>
      <c r="F13" s="21">
        <f>'Full Score Table'!H60</f>
        <v>3</v>
      </c>
      <c r="G13" s="21" t="str">
        <f>'Full Score Table'!I60</f>
        <v>-</v>
      </c>
      <c r="H13" s="21" t="str">
        <f>'Full Score Table'!J60</f>
        <v>-</v>
      </c>
      <c r="I13" s="95">
        <f>'Full Score Table'!K60</f>
        <v>3</v>
      </c>
      <c r="J13" s="36" t="s">
        <v>592</v>
      </c>
      <c r="K13" s="95">
        <f>'Full Score Table'!M60</f>
        <v>21</v>
      </c>
    </row>
    <row r="14" spans="2:11" ht="20" customHeight="1" x14ac:dyDescent="0.2">
      <c r="B14" s="24" t="s">
        <v>651</v>
      </c>
      <c r="C14" s="21" t="str">
        <f>'Full Score Table'!E63</f>
        <v>-</v>
      </c>
      <c r="D14" s="21">
        <f>'Full Score Table'!F63</f>
        <v>1</v>
      </c>
      <c r="E14" s="21">
        <f>'Full Score Table'!G63</f>
        <v>4</v>
      </c>
      <c r="F14" s="21" t="str">
        <f>'Full Score Table'!H63</f>
        <v>-</v>
      </c>
      <c r="G14" s="21" t="str">
        <f>'Full Score Table'!I63</f>
        <v>-</v>
      </c>
      <c r="H14" s="21">
        <f>'Full Score Table'!J63</f>
        <v>1</v>
      </c>
      <c r="I14" s="95">
        <f>'Full Score Table'!K63</f>
        <v>3</v>
      </c>
      <c r="J14" s="36" t="s">
        <v>592</v>
      </c>
      <c r="K14" s="95">
        <f>'Full Score Table'!M63</f>
        <v>18</v>
      </c>
    </row>
    <row r="15" spans="2:11" ht="20" customHeight="1" thickBot="1" x14ac:dyDescent="0.25">
      <c r="B15" s="24" t="s">
        <v>654</v>
      </c>
      <c r="C15" s="21">
        <f>'Full Score Table'!E67</f>
        <v>1</v>
      </c>
      <c r="D15" s="21" t="str">
        <f>'Full Score Table'!F67</f>
        <v>-</v>
      </c>
      <c r="E15" s="21">
        <f>'Full Score Table'!G67</f>
        <v>3</v>
      </c>
      <c r="F15" s="21">
        <f>'Full Score Table'!H67</f>
        <v>1</v>
      </c>
      <c r="G15" s="21">
        <f>'Full Score Table'!I67</f>
        <v>1</v>
      </c>
      <c r="H15" s="21">
        <f>'Full Score Table'!J67</f>
        <v>5</v>
      </c>
      <c r="I15" s="95">
        <f>'Full Score Table'!K67</f>
        <v>18</v>
      </c>
      <c r="J15" s="36" t="s">
        <v>592</v>
      </c>
      <c r="K15" s="95">
        <f>'Full Score Table'!M67</f>
        <v>30</v>
      </c>
    </row>
    <row r="16" spans="2:11" ht="20" customHeight="1" thickTop="1" x14ac:dyDescent="0.2">
      <c r="B16" s="96" t="s">
        <v>673</v>
      </c>
      <c r="C16" s="97">
        <f>'Full Score Table'!E3</f>
        <v>9</v>
      </c>
      <c r="D16" s="97">
        <f>'Full Score Table'!F3</f>
        <v>7</v>
      </c>
      <c r="E16" s="97">
        <f>'Full Score Table'!G3</f>
        <v>72</v>
      </c>
      <c r="F16" s="97">
        <f>'Full Score Table'!H3</f>
        <v>15</v>
      </c>
      <c r="G16" s="97">
        <f>'Full Score Table'!I3</f>
        <v>55</v>
      </c>
      <c r="H16" s="97">
        <f>'Full Score Table'!J3</f>
        <v>40</v>
      </c>
      <c r="I16" s="97">
        <f>'Full Score Table'!K3</f>
        <v>245</v>
      </c>
      <c r="J16" s="97" t="s">
        <v>592</v>
      </c>
      <c r="K16" s="97">
        <f>'Full Score Table'!M3</f>
        <v>567</v>
      </c>
    </row>
  </sheetData>
  <pageMargins left="0.7" right="0.7" top="0.75" bottom="0.75" header="0.3" footer="0.3"/>
  <pageSetup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78"/>
  <sheetViews>
    <sheetView workbookViewId="0">
      <selection activeCell="D32" sqref="D32"/>
    </sheetView>
  </sheetViews>
  <sheetFormatPr baseColWidth="10" defaultRowHeight="16" x14ac:dyDescent="0.2"/>
  <cols>
    <col min="2" max="2" width="58.1640625" bestFit="1" customWidth="1"/>
    <col min="6" max="6" width="51.6640625" bestFit="1" customWidth="1"/>
    <col min="12" max="12" width="5.83203125" customWidth="1"/>
    <col min="13" max="13" width="47.6640625" bestFit="1" customWidth="1"/>
  </cols>
  <sheetData>
    <row r="1" spans="1:14" x14ac:dyDescent="0.2">
      <c r="A1" s="18" t="s">
        <v>674</v>
      </c>
      <c r="N1" s="18" t="s">
        <v>675</v>
      </c>
    </row>
    <row r="2" spans="1:14" x14ac:dyDescent="0.2">
      <c r="A2" s="18"/>
      <c r="L2" t="s">
        <v>676</v>
      </c>
    </row>
    <row r="3" spans="1:14" x14ac:dyDescent="0.2">
      <c r="A3" t="s">
        <v>70</v>
      </c>
      <c r="L3" t="s">
        <v>59</v>
      </c>
      <c r="N3" s="37" t="s">
        <v>677</v>
      </c>
    </row>
    <row r="4" spans="1:14" x14ac:dyDescent="0.2">
      <c r="A4" t="s">
        <v>104</v>
      </c>
      <c r="M4" t="s">
        <v>60</v>
      </c>
      <c r="N4" s="18" t="s">
        <v>678</v>
      </c>
    </row>
    <row r="5" spans="1:14" x14ac:dyDescent="0.2">
      <c r="A5" t="s">
        <v>65</v>
      </c>
      <c r="M5" t="s">
        <v>75</v>
      </c>
      <c r="N5" s="18" t="s">
        <v>679</v>
      </c>
    </row>
    <row r="6" spans="1:14" x14ac:dyDescent="0.2">
      <c r="A6" t="s">
        <v>82</v>
      </c>
      <c r="M6" t="s">
        <v>86</v>
      </c>
      <c r="N6" s="18" t="s">
        <v>680</v>
      </c>
    </row>
    <row r="7" spans="1:14" x14ac:dyDescent="0.2">
      <c r="A7" s="18" t="s">
        <v>681</v>
      </c>
      <c r="M7" t="s">
        <v>105</v>
      </c>
      <c r="N7" s="18" t="s">
        <v>682</v>
      </c>
    </row>
    <row r="8" spans="1:14" x14ac:dyDescent="0.2">
      <c r="A8" t="s">
        <v>190</v>
      </c>
    </row>
    <row r="9" spans="1:14" x14ac:dyDescent="0.2">
      <c r="A9" t="s">
        <v>281</v>
      </c>
      <c r="L9" t="s">
        <v>121</v>
      </c>
      <c r="N9" s="37" t="s">
        <v>683</v>
      </c>
    </row>
    <row r="10" spans="1:14" x14ac:dyDescent="0.2">
      <c r="M10" t="s">
        <v>122</v>
      </c>
      <c r="N10" s="18" t="s">
        <v>684</v>
      </c>
    </row>
    <row r="11" spans="1:14" x14ac:dyDescent="0.2">
      <c r="M11" t="s">
        <v>142</v>
      </c>
      <c r="N11" s="18" t="s">
        <v>685</v>
      </c>
    </row>
    <row r="12" spans="1:14" x14ac:dyDescent="0.2">
      <c r="M12" t="s">
        <v>157</v>
      </c>
      <c r="N12" s="18" t="s">
        <v>686</v>
      </c>
    </row>
    <row r="13" spans="1:14" x14ac:dyDescent="0.2">
      <c r="M13" t="s">
        <v>170</v>
      </c>
      <c r="N13" s="18" t="s">
        <v>687</v>
      </c>
    </row>
    <row r="14" spans="1:14" x14ac:dyDescent="0.2">
      <c r="M14" t="s">
        <v>181</v>
      </c>
      <c r="N14" s="18" t="s">
        <v>688</v>
      </c>
    </row>
    <row r="15" spans="1:14" x14ac:dyDescent="0.2">
      <c r="A15" s="59" t="s">
        <v>689</v>
      </c>
      <c r="C15" t="s">
        <v>663</v>
      </c>
      <c r="D15" t="s">
        <v>590</v>
      </c>
      <c r="E15" t="s">
        <v>690</v>
      </c>
      <c r="M15" t="s">
        <v>195</v>
      </c>
      <c r="N15" s="18" t="s">
        <v>691</v>
      </c>
    </row>
    <row r="16" spans="1:14" x14ac:dyDescent="0.2">
      <c r="A16" s="58">
        <v>8</v>
      </c>
      <c r="B16" t="str">
        <f t="shared" ref="B16:B28" si="0">_xlfn.CONCAT(F16, " (",G16, ")")</f>
        <v>Governance, Risk &amp; Strategy (23 of 48)</v>
      </c>
      <c r="C16">
        <f>'Domain-Level Score Table'!I3</f>
        <v>23</v>
      </c>
      <c r="D16">
        <f>'Domain-Level Score Table'!K3</f>
        <v>48</v>
      </c>
      <c r="E16" s="49">
        <f t="shared" ref="E16:E28" si="1">C16/D16</f>
        <v>0.47916666666666669</v>
      </c>
      <c r="F16" t="s">
        <v>666</v>
      </c>
      <c r="G16" t="str">
        <f t="shared" ref="G16:G28" si="2">_xlfn.CONCAT(C16, " of ", D16)</f>
        <v>23 of 48</v>
      </c>
    </row>
    <row r="17" spans="1:14" x14ac:dyDescent="0.2">
      <c r="A17" s="58">
        <v>15</v>
      </c>
      <c r="B17" t="str">
        <f t="shared" si="0"/>
        <v>Identity, Authentication &amp; Access Management (47 of 90)</v>
      </c>
      <c r="C17">
        <f>'Domain-Level Score Table'!I4</f>
        <v>47</v>
      </c>
      <c r="D17">
        <f>'Domain-Level Score Table'!K4</f>
        <v>90</v>
      </c>
      <c r="E17" s="49">
        <f t="shared" si="1"/>
        <v>0.52222222222222225</v>
      </c>
      <c r="F17" t="s">
        <v>667</v>
      </c>
      <c r="G17" t="str">
        <f t="shared" si="2"/>
        <v>47 of 90</v>
      </c>
      <c r="L17" t="s">
        <v>206</v>
      </c>
      <c r="N17" s="37" t="s">
        <v>692</v>
      </c>
    </row>
    <row r="18" spans="1:14" x14ac:dyDescent="0.2">
      <c r="A18" s="58">
        <v>19</v>
      </c>
      <c r="B18" t="str">
        <f t="shared" si="0"/>
        <v>Data Security &amp; Lifecycle Management (18 of 36)</v>
      </c>
      <c r="C18">
        <f>'Domain-Level Score Table'!I5</f>
        <v>18</v>
      </c>
      <c r="D18">
        <f>'Domain-Level Score Table'!K5</f>
        <v>36</v>
      </c>
      <c r="E18" s="49">
        <f t="shared" si="1"/>
        <v>0.5</v>
      </c>
      <c r="F18" t="s">
        <v>668</v>
      </c>
      <c r="G18" t="str">
        <f t="shared" si="2"/>
        <v>18 of 36</v>
      </c>
      <c r="M18" t="s">
        <v>207</v>
      </c>
      <c r="N18" s="18" t="s">
        <v>693</v>
      </c>
    </row>
    <row r="19" spans="1:14" x14ac:dyDescent="0.2">
      <c r="A19" s="58">
        <v>26</v>
      </c>
      <c r="B19" t="str">
        <f t="shared" si="0"/>
        <v>Network &amp; Communications Governance (33 of 81)</v>
      </c>
      <c r="C19">
        <f>'Domain-Level Score Table'!I6</f>
        <v>33</v>
      </c>
      <c r="D19">
        <f>'Domain-Level Score Table'!K6</f>
        <v>81</v>
      </c>
      <c r="E19" s="49">
        <f t="shared" si="1"/>
        <v>0.40740740740740738</v>
      </c>
      <c r="F19" t="s">
        <v>669</v>
      </c>
      <c r="G19" t="str">
        <f t="shared" si="2"/>
        <v>33 of 81</v>
      </c>
      <c r="M19" t="s">
        <v>214</v>
      </c>
      <c r="N19" s="18" t="s">
        <v>694</v>
      </c>
    </row>
    <row r="20" spans="1:14" x14ac:dyDescent="0.2">
      <c r="A20" s="58">
        <v>31</v>
      </c>
      <c r="B20" t="str">
        <f t="shared" si="0"/>
        <v>Endpoint Security &amp; Configuration Management (21 of 48)</v>
      </c>
      <c r="C20">
        <f>'Domain-Level Score Table'!I7</f>
        <v>21</v>
      </c>
      <c r="D20">
        <f>'Domain-Level Score Table'!K7</f>
        <v>48</v>
      </c>
      <c r="E20" s="49">
        <f t="shared" si="1"/>
        <v>0.4375</v>
      </c>
      <c r="F20" t="s">
        <v>670</v>
      </c>
      <c r="G20" t="str">
        <f t="shared" si="2"/>
        <v>21 of 48</v>
      </c>
      <c r="M20" t="s">
        <v>229</v>
      </c>
      <c r="N20" s="18" t="s">
        <v>695</v>
      </c>
    </row>
    <row r="21" spans="1:14" x14ac:dyDescent="0.2">
      <c r="A21" s="58">
        <v>35</v>
      </c>
      <c r="B21" t="str">
        <f t="shared" si="0"/>
        <v>Cryptography, Encryption &amp; Key Management Governance (0 of 27)</v>
      </c>
      <c r="C21">
        <f>'Domain-Level Score Table'!I8</f>
        <v>0</v>
      </c>
      <c r="D21">
        <f>'Domain-Level Score Table'!K8</f>
        <v>27</v>
      </c>
      <c r="E21" s="49">
        <f t="shared" si="1"/>
        <v>0</v>
      </c>
      <c r="F21" t="s">
        <v>622</v>
      </c>
      <c r="G21" t="str">
        <f t="shared" si="2"/>
        <v>0 of 27</v>
      </c>
    </row>
    <row r="22" spans="1:14" x14ac:dyDescent="0.2">
      <c r="A22" s="58">
        <v>40</v>
      </c>
      <c r="B22" t="str">
        <f t="shared" si="0"/>
        <v>Logging, Monitoring &amp; Event Detection (12 of 45)</v>
      </c>
      <c r="C22">
        <f>'Domain-Level Score Table'!I9</f>
        <v>12</v>
      </c>
      <c r="D22">
        <f>'Domain-Level Score Table'!K9</f>
        <v>45</v>
      </c>
      <c r="E22" s="49">
        <f t="shared" si="1"/>
        <v>0.26666666666666666</v>
      </c>
      <c r="F22" t="s">
        <v>671</v>
      </c>
      <c r="G22" t="str">
        <f t="shared" si="2"/>
        <v>12 of 45</v>
      </c>
      <c r="L22" t="s">
        <v>236</v>
      </c>
      <c r="N22" s="37" t="s">
        <v>696</v>
      </c>
    </row>
    <row r="23" spans="1:14" x14ac:dyDescent="0.2">
      <c r="A23" s="58">
        <v>44</v>
      </c>
      <c r="B23" t="str">
        <f t="shared" si="0"/>
        <v>Response, Recovery &amp; Forensic Readiness (16 of 30)</v>
      </c>
      <c r="C23">
        <f>'Domain-Level Score Table'!I10</f>
        <v>16</v>
      </c>
      <c r="D23">
        <f>'Domain-Level Score Table'!K10</f>
        <v>30</v>
      </c>
      <c r="E23" s="49">
        <f t="shared" si="1"/>
        <v>0.53333333333333333</v>
      </c>
      <c r="F23" t="s">
        <v>672</v>
      </c>
      <c r="G23" t="str">
        <f t="shared" si="2"/>
        <v>16 of 30</v>
      </c>
      <c r="M23" t="s">
        <v>237</v>
      </c>
      <c r="N23" s="18" t="s">
        <v>697</v>
      </c>
    </row>
    <row r="24" spans="1:14" x14ac:dyDescent="0.2">
      <c r="A24" s="58">
        <v>49</v>
      </c>
      <c r="B24" t="str">
        <f t="shared" si="0"/>
        <v>Business Continuity &amp; Environmental Resilience (25 of 42)</v>
      </c>
      <c r="C24">
        <f>'Domain-Level Score Table'!I11</f>
        <v>25</v>
      </c>
      <c r="D24">
        <f>'Domain-Level Score Table'!K11</f>
        <v>42</v>
      </c>
      <c r="E24" s="49">
        <f t="shared" si="1"/>
        <v>0.59523809523809523</v>
      </c>
      <c r="F24" t="s">
        <v>635</v>
      </c>
      <c r="G24" t="str">
        <f t="shared" si="2"/>
        <v>25 of 42</v>
      </c>
      <c r="M24" t="s">
        <v>248</v>
      </c>
      <c r="N24" s="18" t="s">
        <v>698</v>
      </c>
    </row>
    <row r="25" spans="1:14" x14ac:dyDescent="0.2">
      <c r="A25" s="58">
        <v>55</v>
      </c>
      <c r="B25" t="str">
        <f t="shared" si="0"/>
        <v>Physical &amp; Environmental Security Management (26 of 51)</v>
      </c>
      <c r="C25">
        <f>'Domain-Level Score Table'!I12</f>
        <v>26</v>
      </c>
      <c r="D25">
        <f>'Domain-Level Score Table'!K12</f>
        <v>51</v>
      </c>
      <c r="E25" s="49">
        <f t="shared" si="1"/>
        <v>0.50980392156862742</v>
      </c>
      <c r="F25" t="s">
        <v>640</v>
      </c>
      <c r="G25" t="str">
        <f t="shared" si="2"/>
        <v>26 of 51</v>
      </c>
      <c r="M25" t="s">
        <v>261</v>
      </c>
      <c r="N25" s="18" t="s">
        <v>699</v>
      </c>
    </row>
    <row r="26" spans="1:14" x14ac:dyDescent="0.2">
      <c r="A26" s="58">
        <v>60</v>
      </c>
      <c r="B26" t="str">
        <f t="shared" si="0"/>
        <v>Third-Party Security &amp; Supply Chain Management (3 of 21)</v>
      </c>
      <c r="C26">
        <f>'Domain-Level Score Table'!I13</f>
        <v>3</v>
      </c>
      <c r="D26">
        <f>'Domain-Level Score Table'!K13</f>
        <v>21</v>
      </c>
      <c r="E26" s="49">
        <f t="shared" si="1"/>
        <v>0.14285714285714285</v>
      </c>
      <c r="F26" t="s">
        <v>646</v>
      </c>
      <c r="G26" t="str">
        <f t="shared" si="2"/>
        <v>3 of 21</v>
      </c>
      <c r="M26" t="s">
        <v>275</v>
      </c>
      <c r="N26" s="18" t="s">
        <v>700</v>
      </c>
    </row>
    <row r="27" spans="1:14" x14ac:dyDescent="0.2">
      <c r="A27" s="58">
        <v>63</v>
      </c>
      <c r="B27" t="str">
        <f t="shared" si="0"/>
        <v>Assessment, Testing &amp; Remediation Management (3 of 18)</v>
      </c>
      <c r="C27">
        <f>'Domain-Level Score Table'!I14</f>
        <v>3</v>
      </c>
      <c r="D27">
        <f>'Domain-Level Score Table'!K14</f>
        <v>18</v>
      </c>
      <c r="E27" s="49">
        <f t="shared" si="1"/>
        <v>0.16666666666666666</v>
      </c>
      <c r="F27" t="s">
        <v>651</v>
      </c>
      <c r="G27" t="str">
        <f t="shared" si="2"/>
        <v>3 of 18</v>
      </c>
      <c r="M27" t="s">
        <v>286</v>
      </c>
      <c r="N27" s="18" t="s">
        <v>701</v>
      </c>
    </row>
    <row r="28" spans="1:14" x14ac:dyDescent="0.2">
      <c r="A28" s="58">
        <v>67</v>
      </c>
      <c r="B28" t="str">
        <f t="shared" si="0"/>
        <v>Training, Awareness &amp; Behavioral Governance (18 of 30)</v>
      </c>
      <c r="C28">
        <f>'Domain-Level Score Table'!I15</f>
        <v>18</v>
      </c>
      <c r="D28">
        <f>'Domain-Level Score Table'!K15</f>
        <v>30</v>
      </c>
      <c r="E28" s="49">
        <f t="shared" si="1"/>
        <v>0.6</v>
      </c>
      <c r="F28" t="s">
        <v>654</v>
      </c>
      <c r="G28" t="str">
        <f t="shared" si="2"/>
        <v>18 of 30</v>
      </c>
      <c r="M28" t="s">
        <v>300</v>
      </c>
      <c r="N28" s="18" t="s">
        <v>702</v>
      </c>
    </row>
    <row r="30" spans="1:14" x14ac:dyDescent="0.2">
      <c r="L30" t="s">
        <v>310</v>
      </c>
      <c r="N30" s="37" t="s">
        <v>703</v>
      </c>
    </row>
    <row r="31" spans="1:14" x14ac:dyDescent="0.2">
      <c r="M31" t="s">
        <v>311</v>
      </c>
      <c r="N31" s="18" t="s">
        <v>704</v>
      </c>
    </row>
    <row r="32" spans="1:14" x14ac:dyDescent="0.2">
      <c r="B32" t="str">
        <f t="shared" ref="B32:B44" si="3">B16</f>
        <v>Governance, Risk &amp; Strategy (23 of 48)</v>
      </c>
      <c r="C32" s="49">
        <f t="shared" ref="C32:C44" si="4">E16</f>
        <v>0.47916666666666669</v>
      </c>
      <c r="D32" s="49">
        <f>'PSAP Information'!$B$13</f>
        <v>0.5</v>
      </c>
      <c r="M32" t="s">
        <v>323</v>
      </c>
      <c r="N32" s="18" t="s">
        <v>705</v>
      </c>
    </row>
    <row r="33" spans="2:14" x14ac:dyDescent="0.2">
      <c r="B33" t="str">
        <f t="shared" si="3"/>
        <v>Identity, Authentication &amp; Access Management (47 of 90)</v>
      </c>
      <c r="C33" s="49">
        <f t="shared" si="4"/>
        <v>0.52222222222222225</v>
      </c>
      <c r="D33" s="49">
        <f>'PSAP Information'!$B$13</f>
        <v>0.5</v>
      </c>
      <c r="M33" t="s">
        <v>335</v>
      </c>
      <c r="N33" s="18" t="s">
        <v>706</v>
      </c>
    </row>
    <row r="34" spans="2:14" x14ac:dyDescent="0.2">
      <c r="B34" t="str">
        <f t="shared" si="3"/>
        <v>Data Security &amp; Lifecycle Management (18 of 36)</v>
      </c>
      <c r="C34" s="49">
        <f t="shared" si="4"/>
        <v>0.5</v>
      </c>
      <c r="D34" s="49">
        <f>'PSAP Information'!$B$13</f>
        <v>0.5</v>
      </c>
      <c r="M34" t="s">
        <v>348</v>
      </c>
      <c r="N34" s="18" t="s">
        <v>707</v>
      </c>
    </row>
    <row r="35" spans="2:14" x14ac:dyDescent="0.2">
      <c r="B35" t="str">
        <f t="shared" si="3"/>
        <v>Network &amp; Communications Governance (33 of 81)</v>
      </c>
      <c r="C35" s="49">
        <f t="shared" si="4"/>
        <v>0.40740740740740738</v>
      </c>
      <c r="D35" s="49">
        <f>'PSAP Information'!$B$13</f>
        <v>0.5</v>
      </c>
    </row>
    <row r="36" spans="2:14" x14ac:dyDescent="0.2">
      <c r="B36" t="str">
        <f t="shared" si="3"/>
        <v>Endpoint Security &amp; Configuration Management (21 of 48)</v>
      </c>
      <c r="C36" s="49">
        <f t="shared" si="4"/>
        <v>0.4375</v>
      </c>
      <c r="D36" s="49">
        <f>'PSAP Information'!$B$13</f>
        <v>0.5</v>
      </c>
      <c r="L36" t="s">
        <v>357</v>
      </c>
      <c r="N36" s="37" t="s">
        <v>708</v>
      </c>
    </row>
    <row r="37" spans="2:14" x14ac:dyDescent="0.2">
      <c r="B37" t="str">
        <f t="shared" si="3"/>
        <v>Cryptography, Encryption &amp; Key Management Governance (0 of 27)</v>
      </c>
      <c r="C37" s="49">
        <f t="shared" si="4"/>
        <v>0</v>
      </c>
      <c r="D37" s="49">
        <f>'PSAP Information'!$B$13</f>
        <v>0.5</v>
      </c>
      <c r="M37" t="s">
        <v>358</v>
      </c>
      <c r="N37" s="18" t="s">
        <v>709</v>
      </c>
    </row>
    <row r="38" spans="2:14" x14ac:dyDescent="0.2">
      <c r="B38" t="str">
        <f t="shared" si="3"/>
        <v>Logging, Monitoring &amp; Event Detection (12 of 45)</v>
      </c>
      <c r="C38" s="49">
        <f t="shared" si="4"/>
        <v>0.26666666666666666</v>
      </c>
      <c r="D38" s="49">
        <f>'PSAP Information'!$B$13</f>
        <v>0.5</v>
      </c>
      <c r="M38" t="s">
        <v>366</v>
      </c>
      <c r="N38" s="18" t="s">
        <v>710</v>
      </c>
    </row>
    <row r="39" spans="2:14" x14ac:dyDescent="0.2">
      <c r="B39" t="str">
        <f t="shared" si="3"/>
        <v>Response, Recovery &amp; Forensic Readiness (16 of 30)</v>
      </c>
      <c r="C39" s="49">
        <f t="shared" si="4"/>
        <v>0.53333333333333333</v>
      </c>
      <c r="D39" s="49">
        <f>'PSAP Information'!$B$13</f>
        <v>0.5</v>
      </c>
      <c r="M39" t="s">
        <v>373</v>
      </c>
      <c r="N39" s="18" t="s">
        <v>711</v>
      </c>
    </row>
    <row r="40" spans="2:14" x14ac:dyDescent="0.2">
      <c r="B40" t="str">
        <f t="shared" si="3"/>
        <v>Business Continuity &amp; Environmental Resilience (25 of 42)</v>
      </c>
      <c r="C40" s="49">
        <f t="shared" si="4"/>
        <v>0.59523809523809523</v>
      </c>
      <c r="D40" s="49">
        <f>'PSAP Information'!$B$13</f>
        <v>0.5</v>
      </c>
    </row>
    <row r="41" spans="2:14" x14ac:dyDescent="0.2">
      <c r="B41" t="str">
        <f t="shared" si="3"/>
        <v>Physical &amp; Environmental Security Management (26 of 51)</v>
      </c>
      <c r="C41" s="49">
        <f t="shared" si="4"/>
        <v>0.50980392156862742</v>
      </c>
      <c r="D41" s="49">
        <f>'PSAP Information'!$B$13</f>
        <v>0.5</v>
      </c>
      <c r="L41" t="s">
        <v>382</v>
      </c>
      <c r="N41" s="37" t="s">
        <v>712</v>
      </c>
    </row>
    <row r="42" spans="2:14" x14ac:dyDescent="0.2">
      <c r="B42" t="str">
        <f t="shared" si="3"/>
        <v>Third-Party Security &amp; Supply Chain Management (3 of 21)</v>
      </c>
      <c r="C42" s="49">
        <f t="shared" si="4"/>
        <v>0.14285714285714285</v>
      </c>
      <c r="D42" s="49">
        <f>'PSAP Information'!$B$13</f>
        <v>0.5</v>
      </c>
      <c r="M42" t="s">
        <v>383</v>
      </c>
      <c r="N42" s="18" t="s">
        <v>713</v>
      </c>
    </row>
    <row r="43" spans="2:14" x14ac:dyDescent="0.2">
      <c r="B43" t="str">
        <f t="shared" si="3"/>
        <v>Assessment, Testing &amp; Remediation Management (3 of 18)</v>
      </c>
      <c r="C43" s="49">
        <f t="shared" si="4"/>
        <v>0.16666666666666666</v>
      </c>
      <c r="D43" s="49">
        <f>'PSAP Information'!$B$13</f>
        <v>0.5</v>
      </c>
      <c r="M43" t="s">
        <v>392</v>
      </c>
      <c r="N43" s="18" t="s">
        <v>714</v>
      </c>
    </row>
    <row r="44" spans="2:14" x14ac:dyDescent="0.2">
      <c r="B44" t="str">
        <f t="shared" si="3"/>
        <v>Training, Awareness &amp; Behavioral Governance (18 of 30)</v>
      </c>
      <c r="C44" s="49">
        <f t="shared" si="4"/>
        <v>0.6</v>
      </c>
      <c r="D44" s="49">
        <f>'PSAP Information'!$B$13</f>
        <v>0.5</v>
      </c>
      <c r="M44" t="s">
        <v>403</v>
      </c>
      <c r="N44" s="18" t="s">
        <v>715</v>
      </c>
    </row>
    <row r="45" spans="2:14" x14ac:dyDescent="0.2">
      <c r="M45" t="s">
        <v>412</v>
      </c>
      <c r="N45" s="18" t="s">
        <v>716</v>
      </c>
    </row>
    <row r="47" spans="2:14" x14ac:dyDescent="0.2">
      <c r="L47" t="s">
        <v>417</v>
      </c>
      <c r="N47" s="37" t="s">
        <v>717</v>
      </c>
    </row>
    <row r="48" spans="2:14" x14ac:dyDescent="0.2">
      <c r="M48" t="s">
        <v>418</v>
      </c>
      <c r="N48" s="18" t="s">
        <v>718</v>
      </c>
    </row>
    <row r="49" spans="12:14" x14ac:dyDescent="0.2">
      <c r="M49" t="s">
        <v>424</v>
      </c>
      <c r="N49" s="18" t="s">
        <v>719</v>
      </c>
    </row>
    <row r="50" spans="12:14" x14ac:dyDescent="0.2">
      <c r="M50" t="s">
        <v>434</v>
      </c>
      <c r="N50" s="18" t="s">
        <v>720</v>
      </c>
    </row>
    <row r="52" spans="12:14" x14ac:dyDescent="0.2">
      <c r="L52" t="s">
        <v>443</v>
      </c>
      <c r="N52" s="37" t="s">
        <v>721</v>
      </c>
    </row>
    <row r="53" spans="12:14" x14ac:dyDescent="0.2">
      <c r="M53" t="s">
        <v>722</v>
      </c>
      <c r="N53" s="18" t="s">
        <v>723</v>
      </c>
    </row>
    <row r="54" spans="12:14" x14ac:dyDescent="0.2">
      <c r="M54" t="s">
        <v>454</v>
      </c>
      <c r="N54" s="18" t="s">
        <v>724</v>
      </c>
    </row>
    <row r="55" spans="12:14" x14ac:dyDescent="0.2">
      <c r="M55" t="s">
        <v>463</v>
      </c>
      <c r="N55" s="18" t="s">
        <v>725</v>
      </c>
    </row>
    <row r="56" spans="12:14" x14ac:dyDescent="0.2">
      <c r="M56" t="s">
        <v>472</v>
      </c>
      <c r="N56" s="18" t="s">
        <v>726</v>
      </c>
    </row>
    <row r="58" spans="12:14" x14ac:dyDescent="0.2">
      <c r="L58" t="s">
        <v>727</v>
      </c>
      <c r="N58" s="37" t="s">
        <v>728</v>
      </c>
    </row>
    <row r="59" spans="12:14" x14ac:dyDescent="0.2">
      <c r="M59" t="s">
        <v>480</v>
      </c>
      <c r="N59" s="18" t="s">
        <v>729</v>
      </c>
    </row>
    <row r="60" spans="12:14" x14ac:dyDescent="0.2">
      <c r="M60" t="s">
        <v>493</v>
      </c>
      <c r="N60" s="18" t="s">
        <v>730</v>
      </c>
    </row>
    <row r="61" spans="12:14" x14ac:dyDescent="0.2">
      <c r="M61" t="s">
        <v>498</v>
      </c>
      <c r="N61" s="18" t="s">
        <v>731</v>
      </c>
    </row>
    <row r="62" spans="12:14" x14ac:dyDescent="0.2">
      <c r="M62" t="s">
        <v>505</v>
      </c>
      <c r="N62" s="18" t="s">
        <v>732</v>
      </c>
    </row>
    <row r="63" spans="12:14" x14ac:dyDescent="0.2">
      <c r="M63" t="s">
        <v>514</v>
      </c>
      <c r="N63" s="18" t="s">
        <v>733</v>
      </c>
    </row>
    <row r="65" spans="12:14" x14ac:dyDescent="0.2">
      <c r="L65" t="s">
        <v>521</v>
      </c>
      <c r="N65" s="37" t="s">
        <v>734</v>
      </c>
    </row>
    <row r="66" spans="12:14" x14ac:dyDescent="0.2">
      <c r="M66" t="s">
        <v>522</v>
      </c>
      <c r="N66" s="18" t="s">
        <v>735</v>
      </c>
    </row>
    <row r="67" spans="12:14" x14ac:dyDescent="0.2">
      <c r="M67" t="s">
        <v>527</v>
      </c>
      <c r="N67" s="18" t="s">
        <v>736</v>
      </c>
    </row>
    <row r="68" spans="12:14" x14ac:dyDescent="0.2">
      <c r="M68" t="s">
        <v>530</v>
      </c>
      <c r="N68" s="18" t="s">
        <v>737</v>
      </c>
    </row>
    <row r="69" spans="12:14" x14ac:dyDescent="0.2">
      <c r="M69" t="s">
        <v>533</v>
      </c>
      <c r="N69" s="18" t="s">
        <v>738</v>
      </c>
    </row>
    <row r="71" spans="12:14" x14ac:dyDescent="0.2">
      <c r="L71" t="s">
        <v>540</v>
      </c>
      <c r="N71" s="37" t="s">
        <v>739</v>
      </c>
    </row>
    <row r="72" spans="12:14" x14ac:dyDescent="0.2">
      <c r="M72" t="s">
        <v>541</v>
      </c>
      <c r="N72" s="18" t="s">
        <v>740</v>
      </c>
    </row>
    <row r="73" spans="12:14" x14ac:dyDescent="0.2">
      <c r="M73" t="s">
        <v>550</v>
      </c>
      <c r="N73" s="18" t="s">
        <v>741</v>
      </c>
    </row>
    <row r="75" spans="12:14" x14ac:dyDescent="0.2">
      <c r="L75" t="s">
        <v>555</v>
      </c>
      <c r="N75" s="37" t="s">
        <v>742</v>
      </c>
    </row>
    <row r="76" spans="12:14" x14ac:dyDescent="0.2">
      <c r="M76" t="s">
        <v>556</v>
      </c>
      <c r="N76" s="18" t="s">
        <v>743</v>
      </c>
    </row>
    <row r="77" spans="12:14" x14ac:dyDescent="0.2">
      <c r="M77" t="s">
        <v>567</v>
      </c>
      <c r="N77" s="18" t="s">
        <v>744</v>
      </c>
    </row>
    <row r="78" spans="12:14" x14ac:dyDescent="0.2">
      <c r="M78" t="s">
        <v>574</v>
      </c>
      <c r="N78" s="18" t="s">
        <v>745</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6" baseType="variant">
      <vt:variant>
        <vt:lpstr>Worksheets</vt:lpstr>
      </vt:variant>
      <vt:variant>
        <vt:i4>6</vt:i4>
      </vt:variant>
      <vt:variant>
        <vt:lpstr>Charts</vt:lpstr>
      </vt:variant>
      <vt:variant>
        <vt:i4>2</vt:i4>
      </vt:variant>
      <vt:variant>
        <vt:lpstr>Named Ranges</vt:lpstr>
      </vt:variant>
      <vt:variant>
        <vt:i4>2</vt:i4>
      </vt:variant>
    </vt:vector>
  </HeadingPairs>
  <TitlesOfParts>
    <vt:vector size="10" baseType="lpstr">
      <vt:lpstr>General Information</vt:lpstr>
      <vt:lpstr>PSAP Information</vt:lpstr>
      <vt:lpstr>Question Set</vt:lpstr>
      <vt:lpstr>Full Score Table</vt:lpstr>
      <vt:lpstr>Domain-Level Score Table</vt:lpstr>
      <vt:lpstr>-HIDE- Drop Downs | Maths</vt:lpstr>
      <vt:lpstr>Bar Chart</vt:lpstr>
      <vt:lpstr>Radar Chart</vt:lpstr>
      <vt:lpstr>'Question Set'!Print_Area</vt:lpstr>
      <vt:lpstr>'Question Set'!Print_Titles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Jeffares</dc:creator>
  <cp:lastModifiedBy>Jason Jeffares</cp:lastModifiedBy>
  <cp:lastPrinted>2025-07-24T22:04:20Z</cp:lastPrinted>
  <dcterms:created xsi:type="dcterms:W3CDTF">2025-07-03T15:21:01Z</dcterms:created>
  <dcterms:modified xsi:type="dcterms:W3CDTF">2026-07-18T04:27:42Z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0x0101008787793B6B1B7648B08F918D60D2D051</vt:lpwstr>
  </property>
  <property fmtid="{D5CDD505-2E9C-101B-9397-08002B2CF9AE}" pid="3" name="MediaServiceImageTags">
    <vt:lpwstr/>
  </property>
</Properties>
</file>